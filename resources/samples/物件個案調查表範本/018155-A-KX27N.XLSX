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2535" yWindow="750" windowWidth="15480" windowHeight="6555" tabRatio="768" activeTab="7"/>
  </bookViews>
  <sheets>
    <sheet name="1.物調-封面" sheetId="8" r:id="rId1"/>
    <sheet name="2.物調-第1頁" sheetId="2" r:id="rId2"/>
    <sheet name="3.物調-簽名" sheetId="7" r:id="rId3"/>
    <sheet name="4.物調-建物+車位" sheetId="11" r:id="rId4"/>
    <sheet name="5.物調-土地" sheetId="6" r:id="rId5"/>
    <sheet name="6.物調-其他交易條件" sheetId="9" r:id="rId6"/>
    <sheet name="7.物調-相關費用" sheetId="20" r:id="rId7"/>
    <sheet name="秘書-input" sheetId="1" r:id="rId8"/>
    <sheet name="秘書-注意事項" sheetId="21" r:id="rId9"/>
    <sheet name="秘書-橫式櫥窗(2格用)" sheetId="22" r:id="rId10"/>
    <sheet name="秘書-橫式櫥窗" sheetId="23" r:id="rId11"/>
  </sheets>
  <calcPr calcId="144525"/>
</workbook>
</file>

<file path=xl/calcChain.xml><?xml version="1.0" encoding="utf-8"?>
<calcChain xmlns="http://schemas.openxmlformats.org/spreadsheetml/2006/main">
  <c r="J31" i="1" l="1"/>
  <c r="E11" i="1"/>
  <c r="V16" i="2" s="1"/>
  <c r="C11" i="1"/>
  <c r="AH40" i="2"/>
  <c r="P87" i="6"/>
  <c r="T75" i="6"/>
  <c r="T73" i="6"/>
  <c r="T71" i="6"/>
  <c r="AG67" i="6"/>
  <c r="T67" i="6"/>
  <c r="T65" i="6"/>
  <c r="AC63" i="6"/>
  <c r="T63" i="6"/>
  <c r="T61" i="6"/>
  <c r="T59" i="6"/>
  <c r="T57" i="6"/>
  <c r="AG53" i="6"/>
  <c r="T53" i="6"/>
  <c r="T51" i="6"/>
  <c r="AC49" i="6"/>
  <c r="T49" i="6"/>
  <c r="T47" i="6"/>
  <c r="T45" i="6"/>
  <c r="T43" i="6"/>
  <c r="AG39" i="6"/>
  <c r="T39" i="6"/>
  <c r="T37" i="6"/>
  <c r="AC35" i="6"/>
  <c r="T35" i="6"/>
  <c r="T33" i="6"/>
  <c r="T31" i="6"/>
  <c r="T29" i="6"/>
  <c r="AG25" i="6"/>
  <c r="T25" i="6"/>
  <c r="T23" i="6"/>
  <c r="AC21" i="6"/>
  <c r="T21" i="6"/>
  <c r="T19" i="6"/>
  <c r="T17" i="6"/>
  <c r="T15" i="6"/>
  <c r="AG11" i="6"/>
  <c r="T11" i="6"/>
  <c r="T9" i="6"/>
  <c r="AC7" i="6"/>
  <c r="T7" i="6"/>
  <c r="AH44" i="2"/>
  <c r="AH43" i="2"/>
  <c r="AH41" i="2"/>
  <c r="AH38" i="2"/>
  <c r="AH37" i="2"/>
  <c r="AH35" i="2"/>
  <c r="AH34" i="2"/>
  <c r="AH32" i="2"/>
  <c r="AH31" i="2"/>
  <c r="E35" i="1"/>
  <c r="U34" i="1"/>
  <c r="X34" i="1" s="1"/>
  <c r="AJ69" i="6" s="1"/>
  <c r="R34" i="1"/>
  <c r="AJ65" i="6" s="1"/>
  <c r="U33" i="1"/>
  <c r="T55" i="6" s="1"/>
  <c r="R33" i="1"/>
  <c r="AV40" i="2"/>
  <c r="AY12" i="23"/>
  <c r="D32" i="23"/>
  <c r="D29" i="23"/>
  <c r="D26" i="23"/>
  <c r="D23" i="23"/>
  <c r="AH18" i="23"/>
  <c r="X18" i="23"/>
  <c r="D18" i="23"/>
  <c r="D13" i="23"/>
  <c r="A1" i="23"/>
  <c r="C46" i="1"/>
  <c r="S36" i="11" s="1"/>
  <c r="AI36" i="11" s="1"/>
  <c r="J42" i="1"/>
  <c r="J41" i="1"/>
  <c r="J43" i="1"/>
  <c r="J39" i="1"/>
  <c r="N60" i="9"/>
  <c r="I22" i="2"/>
  <c r="V20" i="2"/>
  <c r="AL14" i="11"/>
  <c r="V14" i="11"/>
  <c r="N14" i="11"/>
  <c r="AN57" i="8"/>
  <c r="O57" i="8"/>
  <c r="B57" i="8"/>
  <c r="X9" i="22"/>
  <c r="E42" i="1"/>
  <c r="S30" i="11"/>
  <c r="AI30" i="11" s="1"/>
  <c r="X15" i="22"/>
  <c r="X10" i="22"/>
  <c r="D32" i="22"/>
  <c r="D29" i="22"/>
  <c r="D26" i="22"/>
  <c r="D23" i="22"/>
  <c r="D20" i="22"/>
  <c r="E39" i="1"/>
  <c r="AL14" i="2" s="1"/>
  <c r="E40" i="1"/>
  <c r="AL16" i="2"/>
  <c r="E41" i="1"/>
  <c r="AL18" i="2"/>
  <c r="E43" i="1"/>
  <c r="AL22" i="2"/>
  <c r="E44" i="1"/>
  <c r="E45" i="1"/>
  <c r="D10" i="22"/>
  <c r="A1" i="22"/>
  <c r="T25" i="8"/>
  <c r="U31" i="1"/>
  <c r="X31" i="1"/>
  <c r="AV35" i="2" s="1"/>
  <c r="U32" i="1"/>
  <c r="T41" i="6" s="1"/>
  <c r="AK9" i="7"/>
  <c r="V9" i="7"/>
  <c r="U11" i="2"/>
  <c r="AJ47" i="2"/>
  <c r="AJ49" i="2"/>
  <c r="AJ51" i="2"/>
  <c r="AJ53" i="2"/>
  <c r="AE26" i="2"/>
  <c r="U30" i="1"/>
  <c r="X30" i="1" s="1"/>
  <c r="AU1" i="2"/>
  <c r="D6" i="2"/>
  <c r="AR6" i="2"/>
  <c r="I11" i="2"/>
  <c r="I14" i="2"/>
  <c r="AE14" i="2"/>
  <c r="I16" i="2"/>
  <c r="AE16" i="2"/>
  <c r="I18" i="2"/>
  <c r="AE18" i="2"/>
  <c r="I20" i="2"/>
  <c r="AE20" i="2"/>
  <c r="AE22" i="2"/>
  <c r="I24" i="2"/>
  <c r="T24" i="2"/>
  <c r="AE24" i="2"/>
  <c r="AL24" i="2"/>
  <c r="I26" i="2"/>
  <c r="I28" i="2"/>
  <c r="I30" i="2"/>
  <c r="R30" i="1"/>
  <c r="AV31" i="2" s="1"/>
  <c r="I32" i="2"/>
  <c r="I34" i="2"/>
  <c r="I36" i="2"/>
  <c r="R31" i="1"/>
  <c r="AV34" i="2"/>
  <c r="A42" i="2"/>
  <c r="I42" i="2"/>
  <c r="I38" i="2"/>
  <c r="R32" i="1"/>
  <c r="AJ37" i="6" s="1"/>
  <c r="I40" i="2"/>
  <c r="I45" i="2"/>
  <c r="D47" i="2"/>
  <c r="AE47" i="2"/>
  <c r="AN47" i="2"/>
  <c r="AR47" i="2"/>
  <c r="D49" i="2"/>
  <c r="AE49" i="2"/>
  <c r="AN49" i="2"/>
  <c r="AR49" i="2"/>
  <c r="D51" i="2"/>
  <c r="AE51" i="2"/>
  <c r="AN51" i="2"/>
  <c r="AT51" i="2"/>
  <c r="D53" i="2"/>
  <c r="AE53" i="2"/>
  <c r="AN53" i="2"/>
  <c r="AR53" i="2"/>
  <c r="N8" i="9"/>
  <c r="N13" i="9"/>
  <c r="AO27" i="9" s="1"/>
  <c r="N63" i="9"/>
  <c r="S20" i="11"/>
  <c r="N22" i="11"/>
  <c r="S22" i="11"/>
  <c r="AI22" i="11" s="1"/>
  <c r="N24" i="11"/>
  <c r="S24" i="11"/>
  <c r="AI24" i="11" s="1"/>
  <c r="N26" i="11"/>
  <c r="S26" i="11"/>
  <c r="AI26" i="11" s="1"/>
  <c r="N28" i="11"/>
  <c r="S28" i="11"/>
  <c r="AI28" i="11" s="1"/>
  <c r="N30" i="11"/>
  <c r="N32" i="11"/>
  <c r="S32" i="11"/>
  <c r="AI32" i="11"/>
  <c r="N34" i="11"/>
  <c r="S34" i="11"/>
  <c r="AI34" i="11" s="1"/>
  <c r="N36" i="11"/>
  <c r="U40" i="11"/>
  <c r="AH40" i="11"/>
  <c r="U42" i="11"/>
  <c r="AH42" i="11"/>
  <c r="U44" i="11"/>
  <c r="AH44" i="11"/>
  <c r="U46" i="11"/>
  <c r="AH46" i="11"/>
  <c r="AL48" i="11"/>
  <c r="N62" i="11"/>
  <c r="N7" i="7"/>
  <c r="N9" i="7"/>
  <c r="N11" i="7"/>
  <c r="AL26" i="2"/>
  <c r="AL20" i="2"/>
  <c r="AO21" i="9"/>
  <c r="T69" i="6"/>
  <c r="E46" i="1"/>
  <c r="AB6" i="2" s="1"/>
  <c r="AJ51" i="6"/>
  <c r="T27" i="6"/>
  <c r="X32" i="1"/>
  <c r="AV38" i="2" s="1"/>
  <c r="AV43" i="2"/>
  <c r="U35" i="1"/>
  <c r="AJ23" i="6"/>
  <c r="AJ9" i="6"/>
  <c r="T13" i="6"/>
  <c r="X33" i="1"/>
  <c r="AV41" i="2" s="1"/>
  <c r="AJ55" i="6" l="1"/>
  <c r="AJ41" i="6"/>
  <c r="AV32" i="2"/>
  <c r="AJ13" i="6"/>
  <c r="AV37" i="2"/>
  <c r="X35" i="1"/>
  <c r="T77" i="6" s="1"/>
  <c r="R35" i="1"/>
  <c r="AV44" i="2"/>
  <c r="AJ27" i="6"/>
  <c r="AL28" i="2"/>
  <c r="D15" i="22"/>
  <c r="AK13" i="23"/>
  <c r="AR18" i="23"/>
  <c r="U20" i="22"/>
  <c r="AO30" i="9"/>
  <c r="AO24" i="9"/>
  <c r="AR45" i="2" l="1"/>
</calcChain>
</file>

<file path=xl/comments1.xml><?xml version="1.0" encoding="utf-8"?>
<comments xmlns="http://schemas.openxmlformats.org/spreadsheetml/2006/main">
  <authors>
    <author>fffff</author>
  </authors>
  <commentList>
    <comment ref="AA55" authorId="0">
      <text>
        <r>
          <rPr>
            <b/>
            <sz val="16"/>
            <color indexed="81"/>
            <rFont val="新細明體"/>
            <family val="1"/>
            <charset val="136"/>
          </rPr>
          <t>注意:地圖顯示需要有4條主要道路(goole顯示為黃色道路),方能讓客戶明瞭地理位置</t>
        </r>
        <r>
          <rPr>
            <sz val="16"/>
            <color indexed="81"/>
            <rFont val="新細明體"/>
            <family val="1"/>
            <charset val="136"/>
          </rPr>
          <t xml:space="preserve">
</t>
        </r>
      </text>
    </comment>
    <comment ref="AY55" authorId="0">
      <text>
        <r>
          <rPr>
            <b/>
            <sz val="16"/>
            <color indexed="81"/>
            <rFont val="新細明體"/>
            <family val="1"/>
            <charset val="136"/>
          </rPr>
          <t>注意:格局圖拖曳放大時,必須要以對角線的位置去拖曳,不可以"上下左右"方之邊界拖曳放大</t>
        </r>
      </text>
    </comment>
  </commentList>
</comments>
</file>

<file path=xl/comments2.xml><?xml version="1.0" encoding="utf-8"?>
<comments xmlns="http://schemas.openxmlformats.org/spreadsheetml/2006/main">
  <authors>
    <author>無限使用</author>
    <author>SuperXP</author>
    <author>aillyhung</author>
    <author>fffff</author>
  </authors>
  <commentList>
    <comment ref="B7" authorId="0">
      <text>
        <r>
          <rPr>
            <b/>
            <sz val="9"/>
            <color indexed="81"/>
            <rFont val="新細明體"/>
            <family val="1"/>
            <charset val="136"/>
          </rPr>
          <t xml:space="preserve">請按謄本上之主要用途key in
</t>
        </r>
      </text>
    </comment>
    <comment ref="B8" authorId="1">
      <text>
        <r>
          <rPr>
            <b/>
            <sz val="9"/>
            <color indexed="81"/>
            <rFont val="新細明體"/>
            <family val="1"/>
            <charset val="136"/>
          </rPr>
          <t>現況:
自住,空屋,出租</t>
        </r>
      </text>
    </comment>
    <comment ref="B11" authorId="1">
      <text>
        <r>
          <rPr>
            <b/>
            <sz val="9"/>
            <color indexed="81"/>
            <rFont val="新細明體"/>
            <family val="1"/>
            <charset val="136"/>
          </rPr>
          <t>請key 西元年
民國+11
依謄本上之建築完成日期key in,若謄本上為空白,則依使用執照上之竣工日期</t>
        </r>
      </text>
    </comment>
    <comment ref="B12" authorId="1">
      <text>
        <r>
          <rPr>
            <b/>
            <sz val="9"/>
            <color indexed="81"/>
            <rFont val="新細明體"/>
            <family val="1"/>
            <charset val="136"/>
          </rPr>
          <t>建材:
鋼骨SRC
鋼筋混凝土
加強磚造
木造</t>
        </r>
        <r>
          <rPr>
            <sz val="9"/>
            <color indexed="81"/>
            <rFont val="新細明體"/>
            <family val="1"/>
            <charset val="136"/>
          </rPr>
          <t xml:space="preserve">
</t>
        </r>
      </text>
    </comment>
    <comment ref="B20" authorId="2">
      <text>
        <r>
          <rPr>
            <sz val="9"/>
            <color indexed="81"/>
            <rFont val="細明體"/>
            <family val="3"/>
            <charset val="136"/>
          </rPr>
          <t>一律</t>
        </r>
        <r>
          <rPr>
            <sz val="9"/>
            <color indexed="81"/>
            <rFont val="Tahoma"/>
            <family val="2"/>
          </rPr>
          <t>key"</t>
        </r>
        <r>
          <rPr>
            <sz val="9"/>
            <color indexed="81"/>
            <rFont val="細明體"/>
            <family val="3"/>
            <charset val="136"/>
          </rPr>
          <t>有</t>
        </r>
        <r>
          <rPr>
            <sz val="9"/>
            <color indexed="81"/>
            <rFont val="Tahoma"/>
            <family val="2"/>
          </rPr>
          <t>",</t>
        </r>
        <r>
          <rPr>
            <sz val="9"/>
            <color indexed="81"/>
            <rFont val="細明體"/>
            <family val="3"/>
            <charset val="136"/>
          </rPr>
          <t>因為北市會有垃圾代收費用.除非是透天,若接案經紀人說"無",才key "無"</t>
        </r>
        <r>
          <rPr>
            <sz val="9"/>
            <color indexed="81"/>
            <rFont val="Tahoma"/>
            <family val="2"/>
          </rPr>
          <t xml:space="preserve">
</t>
        </r>
      </text>
    </comment>
    <comment ref="D20" authorId="2">
      <text>
        <r>
          <rPr>
            <b/>
            <sz val="9"/>
            <color indexed="81"/>
            <rFont val="細明體"/>
            <family val="3"/>
            <charset val="136"/>
          </rPr>
          <t>若不知正確數字</t>
        </r>
        <r>
          <rPr>
            <b/>
            <sz val="9"/>
            <color indexed="81"/>
            <rFont val="Tahoma"/>
            <family val="2"/>
          </rPr>
          <t>,</t>
        </r>
        <r>
          <rPr>
            <b/>
            <sz val="9"/>
            <color indexed="81"/>
            <rFont val="細明體"/>
            <family val="3"/>
            <charset val="136"/>
          </rPr>
          <t>一律</t>
        </r>
        <r>
          <rPr>
            <b/>
            <sz val="9"/>
            <color indexed="81"/>
            <rFont val="Tahoma"/>
            <family val="2"/>
          </rPr>
          <t>key "</t>
        </r>
        <r>
          <rPr>
            <b/>
            <sz val="9"/>
            <color indexed="81"/>
            <rFont val="細明體"/>
            <family val="3"/>
            <charset val="136"/>
          </rPr>
          <t>依規定</t>
        </r>
        <r>
          <rPr>
            <b/>
            <sz val="9"/>
            <color indexed="81"/>
            <rFont val="Tahoma"/>
            <family val="2"/>
          </rPr>
          <t>"</t>
        </r>
      </text>
    </comment>
    <comment ref="B21" authorId="2">
      <text>
        <r>
          <rPr>
            <sz val="9"/>
            <color indexed="81"/>
            <rFont val="細明體"/>
            <family val="3"/>
            <charset val="136"/>
          </rPr>
          <t>無</t>
        </r>
        <r>
          <rPr>
            <sz val="9"/>
            <color indexed="81"/>
            <rFont val="Tahoma"/>
            <family val="2"/>
          </rPr>
          <t>,</t>
        </r>
        <r>
          <rPr>
            <sz val="9"/>
            <color indexed="81"/>
            <rFont val="細明體"/>
            <family val="3"/>
            <charset val="136"/>
          </rPr>
          <t>有
日班</t>
        </r>
        <r>
          <rPr>
            <sz val="9"/>
            <color indexed="81"/>
            <rFont val="Tahoma"/>
            <family val="2"/>
          </rPr>
          <t>,</t>
        </r>
        <r>
          <rPr>
            <sz val="9"/>
            <color indexed="81"/>
            <rFont val="細明體"/>
            <family val="3"/>
            <charset val="136"/>
          </rPr>
          <t xml:space="preserve">夜班
</t>
        </r>
        <r>
          <rPr>
            <sz val="9"/>
            <color indexed="81"/>
            <rFont val="Tahoma"/>
            <family val="2"/>
          </rPr>
          <t xml:space="preserve">12hr,24hr
</t>
        </r>
      </text>
    </comment>
    <comment ref="B24" authorId="1">
      <text>
        <r>
          <rPr>
            <b/>
            <sz val="9"/>
            <color indexed="81"/>
            <rFont val="新細明體"/>
            <family val="1"/>
            <charset val="136"/>
          </rPr>
          <t xml:space="preserve">天然瓦斯或
桶裝瓦斯或
無瓦斯
</t>
        </r>
      </text>
    </comment>
    <comment ref="B25" authorId="2">
      <text>
        <r>
          <rPr>
            <b/>
            <sz val="9"/>
            <color indexed="81"/>
            <rFont val="細明體"/>
            <family val="3"/>
            <charset val="136"/>
          </rPr>
          <t>無</t>
        </r>
        <r>
          <rPr>
            <b/>
            <sz val="9"/>
            <color indexed="81"/>
            <rFont val="Tahoma"/>
            <family val="2"/>
          </rPr>
          <t>,</t>
        </r>
        <r>
          <rPr>
            <b/>
            <sz val="9"/>
            <color indexed="81"/>
            <rFont val="細明體"/>
            <family val="3"/>
            <charset val="136"/>
          </rPr>
          <t>有增建時則為</t>
        </r>
        <r>
          <rPr>
            <b/>
            <sz val="9"/>
            <color indexed="81"/>
            <rFont val="Tahoma"/>
            <family val="2"/>
          </rPr>
          <t xml:space="preserve">key in </t>
        </r>
        <r>
          <rPr>
            <b/>
            <sz val="9"/>
            <color indexed="81"/>
            <rFont val="細明體"/>
            <family val="3"/>
            <charset val="136"/>
          </rPr>
          <t>增建位置</t>
        </r>
        <r>
          <rPr>
            <b/>
            <sz val="9"/>
            <color indexed="81"/>
            <rFont val="Tahoma"/>
            <family val="2"/>
          </rPr>
          <t>,</t>
        </r>
        <r>
          <rPr>
            <b/>
            <sz val="9"/>
            <color indexed="81"/>
            <rFont val="細明體"/>
            <family val="3"/>
            <charset val="136"/>
          </rPr>
          <t>若曾被舉報違建</t>
        </r>
        <r>
          <rPr>
            <b/>
            <sz val="9"/>
            <color indexed="81"/>
            <rFont val="Tahoma"/>
            <family val="2"/>
          </rPr>
          <t>,</t>
        </r>
        <r>
          <rPr>
            <b/>
            <sz val="9"/>
            <color indexed="81"/>
            <rFont val="細明體"/>
            <family val="3"/>
            <charset val="136"/>
          </rPr>
          <t>則必須以()加註,被舉報位置</t>
        </r>
        <r>
          <rPr>
            <b/>
            <sz val="9"/>
            <color indexed="81"/>
            <rFont val="Tahoma"/>
            <family val="2"/>
          </rPr>
          <t>,</t>
        </r>
        <r>
          <rPr>
            <b/>
            <sz val="9"/>
            <color indexed="81"/>
            <rFont val="細明體"/>
            <family val="3"/>
            <charset val="136"/>
          </rPr>
          <t>例</t>
        </r>
        <r>
          <rPr>
            <b/>
            <sz val="9"/>
            <color indexed="81"/>
            <rFont val="Tahoma"/>
            <family val="2"/>
          </rPr>
          <t>,10</t>
        </r>
        <r>
          <rPr>
            <b/>
            <sz val="9"/>
            <color indexed="81"/>
            <rFont val="細明體"/>
            <family val="3"/>
            <charset val="136"/>
          </rPr>
          <t>號</t>
        </r>
        <r>
          <rPr>
            <b/>
            <sz val="9"/>
            <color indexed="81"/>
            <rFont val="Tahoma"/>
            <family val="2"/>
          </rPr>
          <t>1</t>
        </r>
        <r>
          <rPr>
            <b/>
            <sz val="9"/>
            <color indexed="81"/>
            <rFont val="細明體"/>
            <family val="3"/>
            <charset val="136"/>
          </rPr>
          <t>樓前方曾被舉報違建</t>
        </r>
      </text>
    </comment>
    <comment ref="B26" authorId="2">
      <text>
        <r>
          <rPr>
            <b/>
            <sz val="9"/>
            <color indexed="81"/>
            <rFont val="細明體"/>
            <family val="3"/>
            <charset val="136"/>
          </rPr>
          <t>以捷運站為主</t>
        </r>
        <r>
          <rPr>
            <b/>
            <sz val="9"/>
            <color indexed="81"/>
            <rFont val="Tahoma"/>
            <family val="2"/>
          </rPr>
          <t>,</t>
        </r>
        <r>
          <rPr>
            <b/>
            <sz val="9"/>
            <color indexed="81"/>
            <rFont val="細明體"/>
            <family val="3"/>
            <charset val="136"/>
          </rPr>
          <t>若無捷運則</t>
        </r>
        <r>
          <rPr>
            <b/>
            <sz val="9"/>
            <color indexed="81"/>
            <rFont val="Tahoma"/>
            <family val="2"/>
          </rPr>
          <t>key in</t>
        </r>
        <r>
          <rPr>
            <b/>
            <sz val="9"/>
            <color indexed="81"/>
            <rFont val="細明體"/>
            <family val="3"/>
            <charset val="136"/>
          </rPr>
          <t>公車路線</t>
        </r>
      </text>
    </comment>
    <comment ref="B27" authorId="0">
      <text>
        <r>
          <rPr>
            <sz val="9"/>
            <color indexed="81"/>
            <rFont val="新細明體"/>
            <family val="1"/>
            <charset val="136"/>
          </rPr>
          <t xml:space="preserve">獨立冷氣
大樓空調
</t>
        </r>
      </text>
    </comment>
    <comment ref="L30" authorId="2">
      <text>
        <r>
          <rPr>
            <sz val="9"/>
            <color indexed="81"/>
            <rFont val="細明體"/>
            <family val="3"/>
            <charset val="136"/>
          </rPr>
          <t>依土地使用分區</t>
        </r>
        <r>
          <rPr>
            <sz val="9"/>
            <color indexed="81"/>
            <rFont val="Tahoma"/>
            <family val="2"/>
          </rPr>
          <t>key in,</t>
        </r>
        <r>
          <rPr>
            <sz val="9"/>
            <color indexed="81"/>
            <rFont val="細明體"/>
            <family val="3"/>
            <charset val="136"/>
          </rPr>
          <t>但若有原屬之使用分區</t>
        </r>
        <r>
          <rPr>
            <sz val="9"/>
            <color indexed="81"/>
            <rFont val="Tahoma"/>
            <family val="2"/>
          </rPr>
          <t>,</t>
        </r>
        <r>
          <rPr>
            <sz val="9"/>
            <color indexed="81"/>
            <rFont val="細明體"/>
            <family val="3"/>
            <charset val="136"/>
          </rPr>
          <t>則依原屬之使用分區</t>
        </r>
        <r>
          <rPr>
            <sz val="9"/>
            <color indexed="81"/>
            <rFont val="Tahoma"/>
            <family val="2"/>
          </rPr>
          <t xml:space="preserve">key in
</t>
        </r>
      </text>
    </comment>
    <comment ref="N30" authorId="2">
      <text>
        <r>
          <rPr>
            <sz val="9"/>
            <color indexed="81"/>
            <rFont val="細明體"/>
            <family val="3"/>
            <charset val="136"/>
          </rPr>
          <t>依土地使用分區之建蔽率</t>
        </r>
        <r>
          <rPr>
            <sz val="9"/>
            <color indexed="81"/>
            <rFont val="Tahoma"/>
            <family val="2"/>
          </rPr>
          <t>% key in,</t>
        </r>
        <r>
          <rPr>
            <sz val="9"/>
            <color indexed="81"/>
            <rFont val="細明體"/>
            <family val="3"/>
            <charset val="136"/>
          </rPr>
          <t>但若有原屬之使用分區</t>
        </r>
        <r>
          <rPr>
            <sz val="9"/>
            <color indexed="81"/>
            <rFont val="Tahoma"/>
            <family val="2"/>
          </rPr>
          <t>,</t>
        </r>
        <r>
          <rPr>
            <sz val="9"/>
            <color indexed="81"/>
            <rFont val="細明體"/>
            <family val="3"/>
            <charset val="136"/>
          </rPr>
          <t>則依原屬之使用分區建蔽率</t>
        </r>
        <r>
          <rPr>
            <sz val="9"/>
            <color indexed="81"/>
            <rFont val="Tahoma"/>
            <family val="2"/>
          </rPr>
          <t>% key in</t>
        </r>
      </text>
    </comment>
    <comment ref="P30" authorId="2">
      <text>
        <r>
          <rPr>
            <b/>
            <sz val="9"/>
            <color indexed="81"/>
            <rFont val="細明體"/>
            <family val="3"/>
            <charset val="136"/>
          </rPr>
          <t>依土地使用分區之容積率</t>
        </r>
        <r>
          <rPr>
            <b/>
            <sz val="9"/>
            <color indexed="81"/>
            <rFont val="Tahoma"/>
            <family val="2"/>
          </rPr>
          <t>% key in,</t>
        </r>
        <r>
          <rPr>
            <b/>
            <sz val="9"/>
            <color indexed="81"/>
            <rFont val="細明體"/>
            <family val="3"/>
            <charset val="136"/>
          </rPr>
          <t>但若有原屬之使用分區</t>
        </r>
        <r>
          <rPr>
            <b/>
            <sz val="9"/>
            <color indexed="81"/>
            <rFont val="Tahoma"/>
            <family val="2"/>
          </rPr>
          <t>,</t>
        </r>
        <r>
          <rPr>
            <b/>
            <sz val="9"/>
            <color indexed="81"/>
            <rFont val="細明體"/>
            <family val="3"/>
            <charset val="136"/>
          </rPr>
          <t>則依原屬之使用分區容積
率</t>
        </r>
        <r>
          <rPr>
            <b/>
            <sz val="9"/>
            <color indexed="81"/>
            <rFont val="Tahoma"/>
            <family val="2"/>
          </rPr>
          <t>% key in</t>
        </r>
      </text>
    </comment>
    <comment ref="L31" authorId="2">
      <text>
        <r>
          <rPr>
            <sz val="9"/>
            <color indexed="81"/>
            <rFont val="細明體"/>
            <family val="3"/>
            <charset val="136"/>
          </rPr>
          <t>依土地使用分區</t>
        </r>
        <r>
          <rPr>
            <sz val="9"/>
            <color indexed="81"/>
            <rFont val="Tahoma"/>
            <family val="2"/>
          </rPr>
          <t>key in,</t>
        </r>
        <r>
          <rPr>
            <sz val="9"/>
            <color indexed="81"/>
            <rFont val="細明體"/>
            <family val="3"/>
            <charset val="136"/>
          </rPr>
          <t>但若有原屬之使用分區</t>
        </r>
        <r>
          <rPr>
            <sz val="9"/>
            <color indexed="81"/>
            <rFont val="Tahoma"/>
            <family val="2"/>
          </rPr>
          <t>,</t>
        </r>
        <r>
          <rPr>
            <sz val="9"/>
            <color indexed="81"/>
            <rFont val="細明體"/>
            <family val="3"/>
            <charset val="136"/>
          </rPr>
          <t>則依原屬之使用分區</t>
        </r>
        <r>
          <rPr>
            <sz val="9"/>
            <color indexed="81"/>
            <rFont val="Tahoma"/>
            <family val="2"/>
          </rPr>
          <t xml:space="preserve">key in
</t>
        </r>
      </text>
    </comment>
    <comment ref="N31" authorId="2">
      <text>
        <r>
          <rPr>
            <sz val="9"/>
            <color indexed="81"/>
            <rFont val="細明體"/>
            <family val="3"/>
            <charset val="136"/>
          </rPr>
          <t>依土地使用分區之建蔽率</t>
        </r>
        <r>
          <rPr>
            <sz val="9"/>
            <color indexed="81"/>
            <rFont val="Tahoma"/>
            <family val="2"/>
          </rPr>
          <t>% key in,</t>
        </r>
        <r>
          <rPr>
            <sz val="9"/>
            <color indexed="81"/>
            <rFont val="細明體"/>
            <family val="3"/>
            <charset val="136"/>
          </rPr>
          <t>但若有原屬之使用分區</t>
        </r>
        <r>
          <rPr>
            <sz val="9"/>
            <color indexed="81"/>
            <rFont val="Tahoma"/>
            <family val="2"/>
          </rPr>
          <t>,</t>
        </r>
        <r>
          <rPr>
            <sz val="9"/>
            <color indexed="81"/>
            <rFont val="細明體"/>
            <family val="3"/>
            <charset val="136"/>
          </rPr>
          <t>則依原屬之使用分區建蔽率</t>
        </r>
        <r>
          <rPr>
            <sz val="9"/>
            <color indexed="81"/>
            <rFont val="Tahoma"/>
            <family val="2"/>
          </rPr>
          <t>% key in</t>
        </r>
      </text>
    </comment>
    <comment ref="P31" authorId="2">
      <text>
        <r>
          <rPr>
            <b/>
            <sz val="9"/>
            <color indexed="81"/>
            <rFont val="細明體"/>
            <family val="3"/>
            <charset val="136"/>
          </rPr>
          <t>依土地使用分區之容積率</t>
        </r>
        <r>
          <rPr>
            <b/>
            <sz val="9"/>
            <color indexed="81"/>
            <rFont val="Tahoma"/>
            <family val="2"/>
          </rPr>
          <t>% key in,</t>
        </r>
        <r>
          <rPr>
            <b/>
            <sz val="9"/>
            <color indexed="81"/>
            <rFont val="細明體"/>
            <family val="3"/>
            <charset val="136"/>
          </rPr>
          <t>但若有原屬之使用分區</t>
        </r>
        <r>
          <rPr>
            <b/>
            <sz val="9"/>
            <color indexed="81"/>
            <rFont val="Tahoma"/>
            <family val="2"/>
          </rPr>
          <t>,</t>
        </r>
        <r>
          <rPr>
            <b/>
            <sz val="9"/>
            <color indexed="81"/>
            <rFont val="細明體"/>
            <family val="3"/>
            <charset val="136"/>
          </rPr>
          <t>則依原屬之使用分區容積
率</t>
        </r>
        <r>
          <rPr>
            <b/>
            <sz val="9"/>
            <color indexed="81"/>
            <rFont val="Tahoma"/>
            <family val="2"/>
          </rPr>
          <t>% key in</t>
        </r>
      </text>
    </comment>
    <comment ref="L32" authorId="2">
      <text>
        <r>
          <rPr>
            <sz val="9"/>
            <color indexed="81"/>
            <rFont val="細明體"/>
            <family val="3"/>
            <charset val="136"/>
          </rPr>
          <t>依土地使用分區</t>
        </r>
        <r>
          <rPr>
            <sz val="9"/>
            <color indexed="81"/>
            <rFont val="Tahoma"/>
            <family val="2"/>
          </rPr>
          <t>key in,</t>
        </r>
        <r>
          <rPr>
            <sz val="9"/>
            <color indexed="81"/>
            <rFont val="細明體"/>
            <family val="3"/>
            <charset val="136"/>
          </rPr>
          <t>但若有原屬之使用分區</t>
        </r>
        <r>
          <rPr>
            <sz val="9"/>
            <color indexed="81"/>
            <rFont val="Tahoma"/>
            <family val="2"/>
          </rPr>
          <t>,</t>
        </r>
        <r>
          <rPr>
            <sz val="9"/>
            <color indexed="81"/>
            <rFont val="細明體"/>
            <family val="3"/>
            <charset val="136"/>
          </rPr>
          <t>則依原屬之使用分區</t>
        </r>
        <r>
          <rPr>
            <sz val="9"/>
            <color indexed="81"/>
            <rFont val="Tahoma"/>
            <family val="2"/>
          </rPr>
          <t xml:space="preserve">key in
</t>
        </r>
      </text>
    </comment>
    <comment ref="N32" authorId="2">
      <text>
        <r>
          <rPr>
            <sz val="9"/>
            <color indexed="81"/>
            <rFont val="細明體"/>
            <family val="3"/>
            <charset val="136"/>
          </rPr>
          <t>依土地使用分區之建蔽率</t>
        </r>
        <r>
          <rPr>
            <sz val="9"/>
            <color indexed="81"/>
            <rFont val="Tahoma"/>
            <family val="2"/>
          </rPr>
          <t>% key in,</t>
        </r>
        <r>
          <rPr>
            <sz val="9"/>
            <color indexed="81"/>
            <rFont val="細明體"/>
            <family val="3"/>
            <charset val="136"/>
          </rPr>
          <t>但若有原屬之使用分區</t>
        </r>
        <r>
          <rPr>
            <sz val="9"/>
            <color indexed="81"/>
            <rFont val="Tahoma"/>
            <family val="2"/>
          </rPr>
          <t>,</t>
        </r>
        <r>
          <rPr>
            <sz val="9"/>
            <color indexed="81"/>
            <rFont val="細明體"/>
            <family val="3"/>
            <charset val="136"/>
          </rPr>
          <t>則依原屬之使用分區建蔽率</t>
        </r>
        <r>
          <rPr>
            <sz val="9"/>
            <color indexed="81"/>
            <rFont val="Tahoma"/>
            <family val="2"/>
          </rPr>
          <t>% key in</t>
        </r>
      </text>
    </comment>
    <comment ref="P32" authorId="2">
      <text>
        <r>
          <rPr>
            <b/>
            <sz val="9"/>
            <color indexed="81"/>
            <rFont val="細明體"/>
            <family val="3"/>
            <charset val="136"/>
          </rPr>
          <t>依土地使用分區之容積率</t>
        </r>
        <r>
          <rPr>
            <b/>
            <sz val="9"/>
            <color indexed="81"/>
            <rFont val="Tahoma"/>
            <family val="2"/>
          </rPr>
          <t>% key in,</t>
        </r>
        <r>
          <rPr>
            <b/>
            <sz val="9"/>
            <color indexed="81"/>
            <rFont val="細明體"/>
            <family val="3"/>
            <charset val="136"/>
          </rPr>
          <t>但若有原屬之使用分區</t>
        </r>
        <r>
          <rPr>
            <b/>
            <sz val="9"/>
            <color indexed="81"/>
            <rFont val="Tahoma"/>
            <family val="2"/>
          </rPr>
          <t>,</t>
        </r>
        <r>
          <rPr>
            <b/>
            <sz val="9"/>
            <color indexed="81"/>
            <rFont val="細明體"/>
            <family val="3"/>
            <charset val="136"/>
          </rPr>
          <t>則依原屬之使用分區容積
率</t>
        </r>
        <r>
          <rPr>
            <b/>
            <sz val="9"/>
            <color indexed="81"/>
            <rFont val="Tahoma"/>
            <family val="2"/>
          </rPr>
          <t>% key in</t>
        </r>
      </text>
    </comment>
    <comment ref="L33" authorId="2">
      <text>
        <r>
          <rPr>
            <sz val="9"/>
            <color indexed="81"/>
            <rFont val="細明體"/>
            <family val="3"/>
            <charset val="136"/>
          </rPr>
          <t>依土地使用分區</t>
        </r>
        <r>
          <rPr>
            <sz val="9"/>
            <color indexed="81"/>
            <rFont val="Tahoma"/>
            <family val="2"/>
          </rPr>
          <t>key in,</t>
        </r>
        <r>
          <rPr>
            <sz val="9"/>
            <color indexed="81"/>
            <rFont val="細明體"/>
            <family val="3"/>
            <charset val="136"/>
          </rPr>
          <t>但若有原屬之使用分區</t>
        </r>
        <r>
          <rPr>
            <sz val="9"/>
            <color indexed="81"/>
            <rFont val="Tahoma"/>
            <family val="2"/>
          </rPr>
          <t>,</t>
        </r>
        <r>
          <rPr>
            <sz val="9"/>
            <color indexed="81"/>
            <rFont val="細明體"/>
            <family val="3"/>
            <charset val="136"/>
          </rPr>
          <t>則依原屬之使用分區</t>
        </r>
        <r>
          <rPr>
            <sz val="9"/>
            <color indexed="81"/>
            <rFont val="Tahoma"/>
            <family val="2"/>
          </rPr>
          <t xml:space="preserve">key in
</t>
        </r>
      </text>
    </comment>
    <comment ref="N33" authorId="2">
      <text>
        <r>
          <rPr>
            <sz val="9"/>
            <color indexed="81"/>
            <rFont val="細明體"/>
            <family val="3"/>
            <charset val="136"/>
          </rPr>
          <t>依土地使用分區之建蔽率</t>
        </r>
        <r>
          <rPr>
            <sz val="9"/>
            <color indexed="81"/>
            <rFont val="Tahoma"/>
            <family val="2"/>
          </rPr>
          <t>% key in,</t>
        </r>
        <r>
          <rPr>
            <sz val="9"/>
            <color indexed="81"/>
            <rFont val="細明體"/>
            <family val="3"/>
            <charset val="136"/>
          </rPr>
          <t>但若有原屬之使用分區</t>
        </r>
        <r>
          <rPr>
            <sz val="9"/>
            <color indexed="81"/>
            <rFont val="Tahoma"/>
            <family val="2"/>
          </rPr>
          <t>,</t>
        </r>
        <r>
          <rPr>
            <sz val="9"/>
            <color indexed="81"/>
            <rFont val="細明體"/>
            <family val="3"/>
            <charset val="136"/>
          </rPr>
          <t>則依原屬之使用分區建蔽率</t>
        </r>
        <r>
          <rPr>
            <sz val="9"/>
            <color indexed="81"/>
            <rFont val="Tahoma"/>
            <family val="2"/>
          </rPr>
          <t>% key in</t>
        </r>
      </text>
    </comment>
    <comment ref="P33" authorId="2">
      <text>
        <r>
          <rPr>
            <b/>
            <sz val="9"/>
            <color indexed="81"/>
            <rFont val="細明體"/>
            <family val="3"/>
            <charset val="136"/>
          </rPr>
          <t>依土地使用分區之容積率</t>
        </r>
        <r>
          <rPr>
            <b/>
            <sz val="9"/>
            <color indexed="81"/>
            <rFont val="Tahoma"/>
            <family val="2"/>
          </rPr>
          <t>% key in,</t>
        </r>
        <r>
          <rPr>
            <b/>
            <sz val="9"/>
            <color indexed="81"/>
            <rFont val="細明體"/>
            <family val="3"/>
            <charset val="136"/>
          </rPr>
          <t>但若有原屬之使用分區</t>
        </r>
        <r>
          <rPr>
            <b/>
            <sz val="9"/>
            <color indexed="81"/>
            <rFont val="Tahoma"/>
            <family val="2"/>
          </rPr>
          <t>,</t>
        </r>
        <r>
          <rPr>
            <b/>
            <sz val="9"/>
            <color indexed="81"/>
            <rFont val="細明體"/>
            <family val="3"/>
            <charset val="136"/>
          </rPr>
          <t>則依原屬之使用分區容積
率</t>
        </r>
        <r>
          <rPr>
            <b/>
            <sz val="9"/>
            <color indexed="81"/>
            <rFont val="Tahoma"/>
            <family val="2"/>
          </rPr>
          <t>% key in</t>
        </r>
      </text>
    </comment>
    <comment ref="L34" authorId="2">
      <text>
        <r>
          <rPr>
            <sz val="9"/>
            <color indexed="81"/>
            <rFont val="細明體"/>
            <family val="3"/>
            <charset val="136"/>
          </rPr>
          <t>依土地使用分區</t>
        </r>
        <r>
          <rPr>
            <sz val="9"/>
            <color indexed="81"/>
            <rFont val="Tahoma"/>
            <family val="2"/>
          </rPr>
          <t>key in,</t>
        </r>
        <r>
          <rPr>
            <sz val="9"/>
            <color indexed="81"/>
            <rFont val="細明體"/>
            <family val="3"/>
            <charset val="136"/>
          </rPr>
          <t>但若有原屬之使用分區</t>
        </r>
        <r>
          <rPr>
            <sz val="9"/>
            <color indexed="81"/>
            <rFont val="Tahoma"/>
            <family val="2"/>
          </rPr>
          <t>,</t>
        </r>
        <r>
          <rPr>
            <sz val="9"/>
            <color indexed="81"/>
            <rFont val="細明體"/>
            <family val="3"/>
            <charset val="136"/>
          </rPr>
          <t>則依原屬之使用分區</t>
        </r>
        <r>
          <rPr>
            <sz val="9"/>
            <color indexed="81"/>
            <rFont val="Tahoma"/>
            <family val="2"/>
          </rPr>
          <t xml:space="preserve">key in
</t>
        </r>
      </text>
    </comment>
    <comment ref="N34" authorId="2">
      <text>
        <r>
          <rPr>
            <sz val="9"/>
            <color indexed="81"/>
            <rFont val="細明體"/>
            <family val="3"/>
            <charset val="136"/>
          </rPr>
          <t>依土地使用分區之建蔽率</t>
        </r>
        <r>
          <rPr>
            <sz val="9"/>
            <color indexed="81"/>
            <rFont val="Tahoma"/>
            <family val="2"/>
          </rPr>
          <t>% key in,</t>
        </r>
        <r>
          <rPr>
            <sz val="9"/>
            <color indexed="81"/>
            <rFont val="細明體"/>
            <family val="3"/>
            <charset val="136"/>
          </rPr>
          <t>但若有原屬之使用分區</t>
        </r>
        <r>
          <rPr>
            <sz val="9"/>
            <color indexed="81"/>
            <rFont val="Tahoma"/>
            <family val="2"/>
          </rPr>
          <t>,</t>
        </r>
        <r>
          <rPr>
            <sz val="9"/>
            <color indexed="81"/>
            <rFont val="細明體"/>
            <family val="3"/>
            <charset val="136"/>
          </rPr>
          <t>則依原屬之使用分區建蔽率</t>
        </r>
        <r>
          <rPr>
            <sz val="9"/>
            <color indexed="81"/>
            <rFont val="Tahoma"/>
            <family val="2"/>
          </rPr>
          <t>% key in</t>
        </r>
      </text>
    </comment>
    <comment ref="P34" authorId="2">
      <text>
        <r>
          <rPr>
            <b/>
            <sz val="9"/>
            <color indexed="81"/>
            <rFont val="細明體"/>
            <family val="3"/>
            <charset val="136"/>
          </rPr>
          <t>依土地使用分區之容積率</t>
        </r>
        <r>
          <rPr>
            <b/>
            <sz val="9"/>
            <color indexed="81"/>
            <rFont val="Tahoma"/>
            <family val="2"/>
          </rPr>
          <t>% key in,</t>
        </r>
        <r>
          <rPr>
            <b/>
            <sz val="9"/>
            <color indexed="81"/>
            <rFont val="細明體"/>
            <family val="3"/>
            <charset val="136"/>
          </rPr>
          <t>但若有原屬之使用分區</t>
        </r>
        <r>
          <rPr>
            <b/>
            <sz val="9"/>
            <color indexed="81"/>
            <rFont val="Tahoma"/>
            <family val="2"/>
          </rPr>
          <t>,</t>
        </r>
        <r>
          <rPr>
            <b/>
            <sz val="9"/>
            <color indexed="81"/>
            <rFont val="細明體"/>
            <family val="3"/>
            <charset val="136"/>
          </rPr>
          <t>則依原屬之使用分區容積
率</t>
        </r>
        <r>
          <rPr>
            <b/>
            <sz val="9"/>
            <color indexed="81"/>
            <rFont val="Tahoma"/>
            <family val="2"/>
          </rPr>
          <t>% key in</t>
        </r>
      </text>
    </comment>
    <comment ref="C38" authorId="3">
      <text>
        <r>
          <rPr>
            <b/>
            <sz val="9"/>
            <color indexed="81"/>
            <rFont val="細明體"/>
            <family val="3"/>
            <charset val="136"/>
          </rPr>
          <t>此格</t>
        </r>
        <r>
          <rPr>
            <b/>
            <sz val="9"/>
            <color indexed="81"/>
            <rFont val="Tahoma"/>
            <family val="2"/>
          </rPr>
          <t xml:space="preserve">key in </t>
        </r>
        <r>
          <rPr>
            <b/>
            <sz val="9"/>
            <color indexed="81"/>
            <rFont val="細明體"/>
            <family val="3"/>
            <charset val="136"/>
          </rPr>
          <t>建物建號</t>
        </r>
        <r>
          <rPr>
            <b/>
            <sz val="9"/>
            <color indexed="81"/>
            <rFont val="Tahoma"/>
            <family val="2"/>
          </rPr>
          <t>,</t>
        </r>
        <r>
          <rPr>
            <b/>
            <sz val="9"/>
            <color indexed="81"/>
            <rFont val="細明體"/>
            <family val="3"/>
            <charset val="136"/>
          </rPr>
          <t>若有第</t>
        </r>
        <r>
          <rPr>
            <b/>
            <sz val="9"/>
            <color indexed="81"/>
            <rFont val="Tahoma"/>
            <family val="2"/>
          </rPr>
          <t>2</t>
        </r>
        <r>
          <rPr>
            <b/>
            <sz val="9"/>
            <color indexed="81"/>
            <rFont val="細明體"/>
            <family val="3"/>
            <charset val="136"/>
          </rPr>
          <t>筆建號或其他公設</t>
        </r>
        <r>
          <rPr>
            <b/>
            <sz val="9"/>
            <color indexed="81"/>
            <rFont val="Tahoma"/>
            <family val="2"/>
          </rPr>
          <t>,</t>
        </r>
        <r>
          <rPr>
            <b/>
            <sz val="9"/>
            <color indexed="81"/>
            <rFont val="細明體"/>
            <family val="3"/>
            <charset val="136"/>
          </rPr>
          <t>車位的騰本建號也要</t>
        </r>
        <r>
          <rPr>
            <b/>
            <sz val="9"/>
            <color indexed="81"/>
            <rFont val="Tahoma"/>
            <family val="2"/>
          </rPr>
          <t>key in</t>
        </r>
      </text>
    </comment>
    <comment ref="B39" authorId="2">
      <text>
        <r>
          <rPr>
            <b/>
            <sz val="9"/>
            <color indexed="81"/>
            <rFont val="細明體"/>
            <family val="3"/>
            <charset val="136"/>
          </rPr>
          <t>依謄本上之名稱</t>
        </r>
        <r>
          <rPr>
            <b/>
            <sz val="9"/>
            <color indexed="81"/>
            <rFont val="Tahoma"/>
            <family val="2"/>
          </rPr>
          <t>key in,</t>
        </r>
        <r>
          <rPr>
            <b/>
            <sz val="9"/>
            <color indexed="81"/>
            <rFont val="細明體"/>
            <family val="3"/>
            <charset val="136"/>
          </rPr>
          <t>不要自創名稱</t>
        </r>
        <r>
          <rPr>
            <b/>
            <sz val="9"/>
            <color indexed="81"/>
            <rFont val="Tahoma"/>
            <family val="2"/>
          </rPr>
          <t>,</t>
        </r>
        <r>
          <rPr>
            <b/>
            <sz val="9"/>
            <color indexed="81"/>
            <rFont val="細明體"/>
            <family val="3"/>
            <charset val="136"/>
          </rPr>
          <t>若已</t>
        </r>
        <r>
          <rPr>
            <b/>
            <sz val="9"/>
            <color indexed="81"/>
            <rFont val="Tahoma"/>
            <family val="2"/>
          </rPr>
          <t>key</t>
        </r>
        <r>
          <rPr>
            <b/>
            <sz val="9"/>
            <color indexed="81"/>
            <rFont val="細明體"/>
            <family val="3"/>
            <charset val="136"/>
          </rPr>
          <t>完</t>
        </r>
        <r>
          <rPr>
            <b/>
            <sz val="9"/>
            <color indexed="81"/>
            <rFont val="Tahoma"/>
            <family val="2"/>
          </rPr>
          <t>,</t>
        </r>
        <r>
          <rPr>
            <b/>
            <sz val="9"/>
            <color indexed="81"/>
            <rFont val="細明體"/>
            <family val="3"/>
            <charset val="136"/>
          </rPr>
          <t>仍有空格時</t>
        </r>
        <r>
          <rPr>
            <b/>
            <sz val="9"/>
            <color indexed="81"/>
            <rFont val="Tahoma"/>
            <family val="2"/>
          </rPr>
          <t>,</t>
        </r>
        <r>
          <rPr>
            <b/>
            <sz val="9"/>
            <color indexed="81"/>
            <rFont val="細明體"/>
            <family val="3"/>
            <charset val="136"/>
          </rPr>
          <t>則名稱</t>
        </r>
        <r>
          <rPr>
            <b/>
            <sz val="9"/>
            <color indexed="81"/>
            <rFont val="Tahoma"/>
            <family val="2"/>
          </rPr>
          <t>key "</t>
        </r>
        <r>
          <rPr>
            <b/>
            <sz val="9"/>
            <color indexed="81"/>
            <rFont val="細明體"/>
            <family val="3"/>
            <charset val="136"/>
          </rPr>
          <t>其他</t>
        </r>
        <r>
          <rPr>
            <b/>
            <sz val="9"/>
            <color indexed="81"/>
            <rFont val="Tahoma"/>
            <family val="2"/>
          </rPr>
          <t>",</t>
        </r>
        <r>
          <rPr>
            <b/>
            <sz val="9"/>
            <color indexed="81"/>
            <rFont val="細明體"/>
            <family val="3"/>
            <charset val="136"/>
          </rPr>
          <t>數字</t>
        </r>
        <r>
          <rPr>
            <b/>
            <sz val="9"/>
            <color indexed="81"/>
            <rFont val="Tahoma"/>
            <family val="2"/>
          </rPr>
          <t>key "0"</t>
        </r>
      </text>
    </comment>
    <comment ref="B40" authorId="2">
      <text>
        <r>
          <rPr>
            <b/>
            <sz val="9"/>
            <color indexed="81"/>
            <rFont val="細明體"/>
            <family val="3"/>
            <charset val="136"/>
          </rPr>
          <t>依謄本上之名稱</t>
        </r>
        <r>
          <rPr>
            <b/>
            <sz val="9"/>
            <color indexed="81"/>
            <rFont val="Tahoma"/>
            <family val="2"/>
          </rPr>
          <t>key in,</t>
        </r>
        <r>
          <rPr>
            <b/>
            <sz val="9"/>
            <color indexed="81"/>
            <rFont val="細明體"/>
            <family val="3"/>
            <charset val="136"/>
          </rPr>
          <t>不要自創名稱</t>
        </r>
        <r>
          <rPr>
            <b/>
            <sz val="9"/>
            <color indexed="81"/>
            <rFont val="Tahoma"/>
            <family val="2"/>
          </rPr>
          <t>,</t>
        </r>
        <r>
          <rPr>
            <b/>
            <sz val="9"/>
            <color indexed="81"/>
            <rFont val="細明體"/>
            <family val="3"/>
            <charset val="136"/>
          </rPr>
          <t>若已</t>
        </r>
        <r>
          <rPr>
            <b/>
            <sz val="9"/>
            <color indexed="81"/>
            <rFont val="Tahoma"/>
            <family val="2"/>
          </rPr>
          <t>key</t>
        </r>
        <r>
          <rPr>
            <b/>
            <sz val="9"/>
            <color indexed="81"/>
            <rFont val="細明體"/>
            <family val="3"/>
            <charset val="136"/>
          </rPr>
          <t>完</t>
        </r>
        <r>
          <rPr>
            <b/>
            <sz val="9"/>
            <color indexed="81"/>
            <rFont val="Tahoma"/>
            <family val="2"/>
          </rPr>
          <t>,</t>
        </r>
        <r>
          <rPr>
            <b/>
            <sz val="9"/>
            <color indexed="81"/>
            <rFont val="細明體"/>
            <family val="3"/>
            <charset val="136"/>
          </rPr>
          <t>仍有空格時</t>
        </r>
        <r>
          <rPr>
            <b/>
            <sz val="9"/>
            <color indexed="81"/>
            <rFont val="Tahoma"/>
            <family val="2"/>
          </rPr>
          <t>,</t>
        </r>
        <r>
          <rPr>
            <b/>
            <sz val="9"/>
            <color indexed="81"/>
            <rFont val="細明體"/>
            <family val="3"/>
            <charset val="136"/>
          </rPr>
          <t>則名稱</t>
        </r>
        <r>
          <rPr>
            <b/>
            <sz val="9"/>
            <color indexed="81"/>
            <rFont val="Tahoma"/>
            <family val="2"/>
          </rPr>
          <t>key "</t>
        </r>
        <r>
          <rPr>
            <b/>
            <sz val="9"/>
            <color indexed="81"/>
            <rFont val="細明體"/>
            <family val="3"/>
            <charset val="136"/>
          </rPr>
          <t>其他</t>
        </r>
        <r>
          <rPr>
            <b/>
            <sz val="9"/>
            <color indexed="81"/>
            <rFont val="Tahoma"/>
            <family val="2"/>
          </rPr>
          <t>",</t>
        </r>
        <r>
          <rPr>
            <b/>
            <sz val="9"/>
            <color indexed="81"/>
            <rFont val="細明體"/>
            <family val="3"/>
            <charset val="136"/>
          </rPr>
          <t>數字</t>
        </r>
        <r>
          <rPr>
            <b/>
            <sz val="9"/>
            <color indexed="81"/>
            <rFont val="Tahoma"/>
            <family val="2"/>
          </rPr>
          <t>key "0"</t>
        </r>
      </text>
    </comment>
    <comment ref="C50" authorId="3">
      <text>
        <r>
          <rPr>
            <b/>
            <sz val="9"/>
            <color indexed="81"/>
            <rFont val="細明體"/>
            <family val="3"/>
            <charset val="136"/>
          </rPr>
          <t>有</t>
        </r>
        <r>
          <rPr>
            <b/>
            <sz val="9"/>
            <color indexed="81"/>
            <rFont val="Tahoma"/>
            <family val="2"/>
          </rPr>
          <t>,</t>
        </r>
        <r>
          <rPr>
            <b/>
            <sz val="9"/>
            <color indexed="81"/>
            <rFont val="細明體"/>
            <family val="3"/>
            <charset val="136"/>
          </rPr>
          <t xml:space="preserve">無
或註明
有2位(有**位)
</t>
        </r>
      </text>
    </comment>
    <comment ref="E50" authorId="3">
      <text>
        <r>
          <rPr>
            <sz val="9"/>
            <color indexed="81"/>
            <rFont val="細明體"/>
            <family val="3"/>
            <charset val="136"/>
          </rPr>
          <t xml:space="preserve">含總價內
另售**(坪數不要key)
</t>
        </r>
      </text>
    </comment>
    <comment ref="C53" authorId="3">
      <text>
        <r>
          <rPr>
            <b/>
            <sz val="9"/>
            <color indexed="81"/>
            <rFont val="細明體"/>
            <family val="3"/>
            <charset val="136"/>
          </rPr>
          <t>專用
分管協議
按管委會規定
抽籤</t>
        </r>
      </text>
    </comment>
    <comment ref="E53" authorId="3">
      <text>
        <r>
          <rPr>
            <b/>
            <sz val="9"/>
            <color indexed="81"/>
            <rFont val="細明體"/>
            <family val="3"/>
            <charset val="136"/>
          </rPr>
          <t>坡道平面
坡道機械
機械平面
機械機械</t>
        </r>
      </text>
    </comment>
    <comment ref="E54" authorId="3">
      <text>
        <r>
          <rPr>
            <b/>
            <sz val="9"/>
            <color indexed="81"/>
            <rFont val="細明體"/>
            <family val="3"/>
            <charset val="136"/>
          </rPr>
          <t>有獨立一張權狀</t>
        </r>
        <r>
          <rPr>
            <b/>
            <sz val="9"/>
            <color indexed="81"/>
            <rFont val="Tahoma"/>
            <family val="2"/>
          </rPr>
          <t>(</t>
        </r>
        <r>
          <rPr>
            <b/>
            <sz val="9"/>
            <color indexed="81"/>
            <rFont val="細明體"/>
            <family val="3"/>
            <charset val="136"/>
          </rPr>
          <t>謄本</t>
        </r>
        <r>
          <rPr>
            <b/>
            <sz val="9"/>
            <color indexed="81"/>
            <rFont val="Tahoma"/>
            <family val="2"/>
          </rPr>
          <t>)</t>
        </r>
        <r>
          <rPr>
            <b/>
            <sz val="9"/>
            <color indexed="81"/>
            <rFont val="細明體"/>
            <family val="3"/>
            <charset val="136"/>
          </rPr>
          <t>是為有獨立區分所有權登記</t>
        </r>
      </text>
    </comment>
  </commentList>
</comments>
</file>

<file path=xl/sharedStrings.xml><?xml version="1.0" encoding="utf-8"?>
<sst xmlns="http://schemas.openxmlformats.org/spreadsheetml/2006/main" count="666" uniqueCount="417">
  <si>
    <t>建物</t>
    <phoneticPr fontId="2" type="noConversion"/>
  </si>
  <si>
    <t>合計</t>
    <phoneticPr fontId="2" type="noConversion"/>
  </si>
  <si>
    <t>平方公尺</t>
    <phoneticPr fontId="2" type="noConversion"/>
  </si>
  <si>
    <t>坪</t>
    <phoneticPr fontId="2" type="noConversion"/>
  </si>
  <si>
    <t>萬</t>
    <phoneticPr fontId="2" type="noConversion"/>
  </si>
  <si>
    <t>屋齡:</t>
    <phoneticPr fontId="2" type="noConversion"/>
  </si>
  <si>
    <t>年</t>
    <phoneticPr fontId="2" type="noConversion"/>
  </si>
  <si>
    <t>基地面積:</t>
    <phoneticPr fontId="2" type="noConversion"/>
  </si>
  <si>
    <t>樓層:</t>
    <phoneticPr fontId="2" type="noConversion"/>
  </si>
  <si>
    <t>格局:</t>
    <phoneticPr fontId="2" type="noConversion"/>
  </si>
  <si>
    <t>座向:</t>
    <phoneticPr fontId="2" type="noConversion"/>
  </si>
  <si>
    <t>同層戶數:</t>
    <phoneticPr fontId="2" type="noConversion"/>
  </si>
  <si>
    <t>戶</t>
    <phoneticPr fontId="2" type="noConversion"/>
  </si>
  <si>
    <t>邊間:</t>
    <phoneticPr fontId="2" type="noConversion"/>
  </si>
  <si>
    <t>中庭:</t>
    <phoneticPr fontId="2" type="noConversion"/>
  </si>
  <si>
    <t>電梯數:</t>
    <phoneticPr fontId="2" type="noConversion"/>
  </si>
  <si>
    <t>車位編號:</t>
    <phoneticPr fontId="2" type="noConversion"/>
  </si>
  <si>
    <t>元/月</t>
    <phoneticPr fontId="2" type="noConversion"/>
  </si>
  <si>
    <t>建築物管理費:</t>
    <phoneticPr fontId="2" type="noConversion"/>
  </si>
  <si>
    <t>停車管理費:</t>
    <phoneticPr fontId="2" type="noConversion"/>
  </si>
  <si>
    <t>警衛管理:</t>
    <phoneticPr fontId="2" type="noConversion"/>
  </si>
  <si>
    <t>學區:</t>
    <phoneticPr fontId="2" type="noConversion"/>
  </si>
  <si>
    <t>看屋方式:</t>
    <phoneticPr fontId="2" type="noConversion"/>
  </si>
  <si>
    <t>瓦斯:</t>
    <phoneticPr fontId="2" type="noConversion"/>
  </si>
  <si>
    <t>有無車位:</t>
    <phoneticPr fontId="2" type="noConversion"/>
  </si>
  <si>
    <t>車位</t>
    <phoneticPr fontId="2" type="noConversion"/>
  </si>
  <si>
    <t>建物名稱:</t>
    <phoneticPr fontId="2" type="noConversion"/>
  </si>
  <si>
    <t>建築完成日:</t>
    <phoneticPr fontId="2" type="noConversion"/>
  </si>
  <si>
    <t>主要建材:</t>
    <phoneticPr fontId="2" type="noConversion"/>
  </si>
  <si>
    <t>同層戶數:</t>
    <phoneticPr fontId="2" type="noConversion"/>
  </si>
  <si>
    <t>邊間:</t>
    <phoneticPr fontId="2" type="noConversion"/>
  </si>
  <si>
    <t>中庭:</t>
    <phoneticPr fontId="2" type="noConversion"/>
  </si>
  <si>
    <t>電梯數:</t>
    <phoneticPr fontId="2" type="noConversion"/>
  </si>
  <si>
    <t>其他:</t>
    <phoneticPr fontId="2" type="noConversion"/>
  </si>
  <si>
    <t>特色</t>
    <phoneticPr fontId="2" type="noConversion"/>
  </si>
  <si>
    <t>使用方式:</t>
    <phoneticPr fontId="2" type="noConversion"/>
  </si>
  <si>
    <t>土地</t>
    <phoneticPr fontId="2" type="noConversion"/>
  </si>
  <si>
    <t>地號:</t>
    <phoneticPr fontId="2" type="noConversion"/>
  </si>
  <si>
    <t>基地面積:</t>
    <phoneticPr fontId="2" type="noConversion"/>
  </si>
  <si>
    <t>平方公尺</t>
    <phoneticPr fontId="2" type="noConversion"/>
  </si>
  <si>
    <t>坪</t>
    <phoneticPr fontId="2" type="noConversion"/>
  </si>
  <si>
    <t>持分:</t>
    <phoneticPr fontId="2" type="noConversion"/>
  </si>
  <si>
    <t>約</t>
    <phoneticPr fontId="2" type="noConversion"/>
  </si>
  <si>
    <t>車位價:</t>
    <phoneticPr fontId="2" type="noConversion"/>
  </si>
  <si>
    <t>租金約:</t>
    <phoneticPr fontId="2" type="noConversion"/>
  </si>
  <si>
    <t>建物</t>
    <phoneticPr fontId="2" type="noConversion"/>
  </si>
  <si>
    <t>合計:</t>
    <phoneticPr fontId="2" type="noConversion"/>
  </si>
  <si>
    <t>戶</t>
    <phoneticPr fontId="2" type="noConversion"/>
  </si>
  <si>
    <t>案名</t>
    <phoneticPr fontId="2" type="noConversion"/>
  </si>
  <si>
    <t>坪</t>
    <phoneticPr fontId="2" type="noConversion"/>
  </si>
  <si>
    <t>售價</t>
    <phoneticPr fontId="2" type="noConversion"/>
  </si>
  <si>
    <t>萬</t>
    <phoneticPr fontId="2" type="noConversion"/>
  </si>
  <si>
    <t>(或非都市土地編訂證明)
*依主管機關核發證明資料或主管機關網路公布資料為準</t>
    <phoneticPr fontId="2" type="noConversion"/>
  </si>
  <si>
    <t>土地</t>
    <phoneticPr fontId="2" type="noConversion"/>
  </si>
  <si>
    <t>無</t>
    <phoneticPr fontId="2" type="noConversion"/>
  </si>
  <si>
    <t xml:space="preserve">可否另租: </t>
    <phoneticPr fontId="2" type="noConversion"/>
  </si>
  <si>
    <t>車位是否辦理獨立區分所有建物登記:</t>
    <phoneticPr fontId="2" type="noConversion"/>
  </si>
  <si>
    <t>特色</t>
    <phoneticPr fontId="2" type="noConversion"/>
  </si>
  <si>
    <t>位置圖</t>
    <phoneticPr fontId="2" type="noConversion"/>
  </si>
  <si>
    <t>格局圖</t>
    <phoneticPr fontId="2" type="noConversion"/>
  </si>
  <si>
    <t>他項限制登記情形:</t>
    <phoneticPr fontId="2" type="noConversion"/>
  </si>
  <si>
    <t>建物管理費約</t>
    <phoneticPr fontId="2" type="noConversion"/>
  </si>
  <si>
    <t>他項權利</t>
    <phoneticPr fontId="2" type="noConversion"/>
  </si>
  <si>
    <t>限制登記情形</t>
    <phoneticPr fontId="2" type="noConversion"/>
  </si>
  <si>
    <t>二、建物標示:</t>
    <phoneticPr fontId="2" type="noConversion"/>
  </si>
  <si>
    <t>一、 銷 售 案 名:</t>
    <phoneticPr fontId="2" type="noConversion"/>
  </si>
  <si>
    <t>二、 建 物 門 牌:</t>
    <phoneticPr fontId="2" type="noConversion"/>
  </si>
  <si>
    <t>三、 製 作 單 位:</t>
    <phoneticPr fontId="2" type="noConversion"/>
  </si>
  <si>
    <t>四、 本說明書係依:台北市地政事務所核發之謄本為準,內容及附件如下:</t>
    <phoneticPr fontId="2" type="noConversion"/>
  </si>
  <si>
    <t>權利種類</t>
    <phoneticPr fontId="2" type="noConversion"/>
  </si>
  <si>
    <t>順位</t>
    <phoneticPr fontId="2" type="noConversion"/>
  </si>
  <si>
    <t>內容</t>
    <phoneticPr fontId="2" type="noConversion"/>
  </si>
  <si>
    <t>權利人</t>
    <phoneticPr fontId="2" type="noConversion"/>
  </si>
  <si>
    <t>(依市政府 地政機關 登記謄本為準)</t>
    <phoneticPr fontId="2" type="noConversion"/>
  </si>
  <si>
    <t>建號:</t>
    <phoneticPr fontId="2" type="noConversion"/>
  </si>
  <si>
    <t>產權調查篇</t>
    <phoneticPr fontId="2" type="noConversion"/>
  </si>
  <si>
    <t>土地權狀影本</t>
    <phoneticPr fontId="2" type="noConversion"/>
  </si>
  <si>
    <t>物件現況調查篇</t>
    <phoneticPr fontId="2" type="noConversion"/>
  </si>
  <si>
    <t>建物權狀影本</t>
    <phoneticPr fontId="2" type="noConversion"/>
  </si>
  <si>
    <t>地籍圖</t>
    <phoneticPr fontId="2" type="noConversion"/>
  </si>
  <si>
    <t>位置與格間圖</t>
    <phoneticPr fontId="2" type="noConversion"/>
  </si>
  <si>
    <t>建物平面圖</t>
    <phoneticPr fontId="2" type="noConversion"/>
  </si>
  <si>
    <t>圖片說明書</t>
    <phoneticPr fontId="2" type="noConversion"/>
  </si>
  <si>
    <t>建物謄本</t>
    <phoneticPr fontId="2" type="noConversion"/>
  </si>
  <si>
    <t>海砂檢測報告</t>
    <phoneticPr fontId="2" type="noConversion"/>
  </si>
  <si>
    <t>都市使用分區證明</t>
    <phoneticPr fontId="2" type="noConversion"/>
  </si>
  <si>
    <t>幅射檢測報告</t>
    <phoneticPr fontId="2" type="noConversion"/>
  </si>
  <si>
    <t>公寓大廈使用手冊</t>
    <phoneticPr fontId="2" type="noConversion"/>
  </si>
  <si>
    <t>住戶規約</t>
    <phoneticPr fontId="2" type="noConversion"/>
  </si>
  <si>
    <t>分管協議</t>
    <phoneticPr fontId="2" type="noConversion"/>
  </si>
  <si>
    <t>建築改良物使用執照</t>
    <phoneticPr fontId="2" type="noConversion"/>
  </si>
  <si>
    <t>車位平面圖</t>
    <phoneticPr fontId="2" type="noConversion"/>
  </si>
  <si>
    <t>都市計劃說明書</t>
    <phoneticPr fontId="2" type="noConversion"/>
  </si>
  <si>
    <t>所有權人(賣方):</t>
    <phoneticPr fontId="2" type="noConversion"/>
  </si>
  <si>
    <t>(簽訂買賣契約同時,由買方簽屬本欄)</t>
    <phoneticPr fontId="2" type="noConversion"/>
  </si>
  <si>
    <t>※洽談買方客戶資料說明:買方簽定要約書、買方議價委託書、買賣訂金收款憑證者，均須同時要求於下列買方客戶簽名處簽名。</t>
    <phoneticPr fontId="2" type="noConversion"/>
  </si>
  <si>
    <t>買方客戶已詳閱本不動產說明書，並確實瞭解其內容無誤</t>
    <phoneticPr fontId="2" type="noConversion"/>
  </si>
  <si>
    <t>日期</t>
    <phoneticPr fontId="2" type="noConversion"/>
  </si>
  <si>
    <t>買方客戶簽名</t>
    <phoneticPr fontId="2" type="noConversion"/>
  </si>
  <si>
    <t>經紀人員</t>
    <phoneticPr fontId="2" type="noConversion"/>
  </si>
  <si>
    <t>座落:</t>
    <phoneticPr fontId="2" type="noConversion"/>
  </si>
  <si>
    <t>基地面積</t>
    <phoneticPr fontId="2" type="noConversion"/>
  </si>
  <si>
    <t>，約</t>
    <phoneticPr fontId="2" type="noConversion"/>
  </si>
  <si>
    <t>分之</t>
    <phoneticPr fontId="2" type="noConversion"/>
  </si>
  <si>
    <t>持分面積</t>
    <phoneticPr fontId="2" type="noConversion"/>
  </si>
  <si>
    <t>使用分區</t>
    <phoneticPr fontId="2" type="noConversion"/>
  </si>
  <si>
    <t>建敝率</t>
    <phoneticPr fontId="2" type="noConversion"/>
  </si>
  <si>
    <t>(依各縣市政府規定)</t>
    <phoneticPr fontId="2" type="noConversion"/>
  </si>
  <si>
    <t>容積率</t>
    <phoneticPr fontId="2" type="noConversion"/>
  </si>
  <si>
    <t>平方公尺，約</t>
    <phoneticPr fontId="2" type="noConversion"/>
  </si>
  <si>
    <t xml:space="preserve">可否另租: </t>
    <phoneticPr fontId="2" type="noConversion"/>
  </si>
  <si>
    <t>停車方式:</t>
    <phoneticPr fontId="2" type="noConversion"/>
  </si>
  <si>
    <t>車位是否辦理獨立區分所有建物登記:</t>
    <phoneticPr fontId="2" type="noConversion"/>
  </si>
  <si>
    <t>應納稅</t>
    <phoneticPr fontId="2" type="noConversion"/>
  </si>
  <si>
    <t>規費</t>
    <phoneticPr fontId="2" type="noConversion"/>
  </si>
  <si>
    <t>土地增值稅</t>
    <phoneticPr fontId="2" type="noConversion"/>
  </si>
  <si>
    <t>依核定</t>
    <phoneticPr fontId="2" type="noConversion"/>
  </si>
  <si>
    <t>元</t>
    <phoneticPr fontId="2" type="noConversion"/>
  </si>
  <si>
    <t>工程受益費</t>
    <phoneticPr fontId="2" type="noConversion"/>
  </si>
  <si>
    <t>地價稅</t>
    <phoneticPr fontId="2" type="noConversion"/>
  </si>
  <si>
    <t>代書費</t>
    <phoneticPr fontId="2" type="noConversion"/>
  </si>
  <si>
    <t>契稅</t>
    <phoneticPr fontId="2" type="noConversion"/>
  </si>
  <si>
    <t>登記規費</t>
    <phoneticPr fontId="2" type="noConversion"/>
  </si>
  <si>
    <t>房屋稅</t>
    <phoneticPr fontId="2" type="noConversion"/>
  </si>
  <si>
    <t>水電、瓦斯</t>
    <phoneticPr fontId="2" type="noConversion"/>
  </si>
  <si>
    <t>依分算</t>
    <phoneticPr fontId="2" type="noConversion"/>
  </si>
  <si>
    <t>印花稅</t>
    <phoneticPr fontId="2" type="noConversion"/>
  </si>
  <si>
    <t>管理費</t>
    <phoneticPr fontId="2" type="noConversion"/>
  </si>
  <si>
    <t>以上應納稅額及規費等負擔，均以買賣契約書之約定為準。</t>
    <phoneticPr fontId="2" type="noConversion"/>
  </si>
  <si>
    <t>無。依固定物交屋</t>
    <phoneticPr fontId="2" type="noConversion"/>
  </si>
  <si>
    <t>立即</t>
    <phoneticPr fontId="2" type="noConversion"/>
  </si>
  <si>
    <t>(簽章) 住址:</t>
    <phoneticPr fontId="2" type="noConversion"/>
  </si>
  <si>
    <t>買         方:</t>
    <phoneticPr fontId="2" type="noConversion"/>
  </si>
  <si>
    <t>經   紀   人:</t>
    <phoneticPr fontId="2" type="noConversion"/>
  </si>
  <si>
    <t>營  業  員 :</t>
    <phoneticPr fontId="2" type="noConversion"/>
  </si>
  <si>
    <t>交易種類</t>
    <phoneticPr fontId="2" type="noConversion"/>
  </si>
  <si>
    <t>委託總價金</t>
    <phoneticPr fontId="2" type="noConversion"/>
  </si>
  <si>
    <t>付款方式</t>
    <phoneticPr fontId="2" type="noConversion"/>
  </si>
  <si>
    <t>賣方附贈設備</t>
    <phoneticPr fontId="2" type="noConversion"/>
  </si>
  <si>
    <t>交屋情形</t>
    <phoneticPr fontId="2" type="noConversion"/>
  </si>
  <si>
    <t>交通條件說明</t>
    <phoneticPr fontId="2" type="noConversion"/>
  </si>
  <si>
    <t>備註</t>
    <phoneticPr fontId="2" type="noConversion"/>
  </si>
  <si>
    <t>應納稅額
規費項目
負擔方式
(皆以稅捐機關核定數額為準)</t>
    <phoneticPr fontId="2" type="noConversion"/>
  </si>
  <si>
    <t>第一期款(簽約款)新台幣</t>
    <phoneticPr fontId="2" type="noConversion"/>
  </si>
  <si>
    <t>第二期款(備證用印款)新台幣</t>
    <phoneticPr fontId="2" type="noConversion"/>
  </si>
  <si>
    <t>主要內容</t>
    <phoneticPr fontId="2" type="noConversion"/>
  </si>
  <si>
    <t>附件內容</t>
    <phoneticPr fontId="2" type="noConversion"/>
  </si>
  <si>
    <t>公司網址: http://www.hbhousing.com.tw/web/A313/</t>
    <phoneticPr fontId="2" type="noConversion"/>
  </si>
  <si>
    <t>期別</t>
    <phoneticPr fontId="2" type="noConversion"/>
  </si>
  <si>
    <t>比例</t>
    <phoneticPr fontId="2" type="noConversion"/>
  </si>
  <si>
    <t>金額</t>
    <phoneticPr fontId="2" type="noConversion"/>
  </si>
  <si>
    <t>第三期款(完稅款)新台幣</t>
    <phoneticPr fontId="2" type="noConversion"/>
  </si>
  <si>
    <t>,建築物管理費約</t>
    <phoneticPr fontId="2" type="noConversion"/>
  </si>
  <si>
    <t>交通條件說明:</t>
    <phoneticPr fontId="2" type="noConversion"/>
  </si>
  <si>
    <t>空調:</t>
    <phoneticPr fontId="2" type="noConversion"/>
  </si>
  <si>
    <t>總價</t>
    <phoneticPr fontId="2" type="noConversion"/>
  </si>
  <si>
    <t>坪數</t>
    <phoneticPr fontId="2" type="noConversion"/>
  </si>
  <si>
    <t>第四期款(交屋款)新台幣</t>
    <phoneticPr fontId="2" type="noConversion"/>
  </si>
  <si>
    <t>(貸款不足應以現金乙次補足)</t>
    <phoneticPr fontId="2" type="noConversion"/>
  </si>
  <si>
    <t>物件名稱</t>
    <phoneticPr fontId="2" type="noConversion"/>
  </si>
  <si>
    <t>地址</t>
    <phoneticPr fontId="2" type="noConversion"/>
  </si>
  <si>
    <t>物件個案調查表</t>
    <phoneticPr fontId="2" type="noConversion"/>
  </si>
  <si>
    <t>坪數</t>
    <phoneticPr fontId="2" type="noConversion"/>
  </si>
  <si>
    <t>*</t>
    <phoneticPr fontId="2" type="noConversion"/>
  </si>
  <si>
    <t>上述各項面積合計係依地政機關登記簿謄本登載的面積平方公尺換算為坪所得。(1平方公尺=0.3025坪)，小數點第三位四捨五入取二位)。</t>
    <phoneticPr fontId="2" type="noConversion"/>
  </si>
  <si>
    <t>建物登記用途請以地政機關辦法為準。</t>
    <phoneticPr fontId="2" type="noConversion"/>
  </si>
  <si>
    <t>*</t>
    <phoneticPr fontId="2" type="noConversion"/>
  </si>
  <si>
    <t>******************************  賣  方  支  付  項  目  ************************************</t>
    <phoneticPr fontId="2" type="noConversion"/>
  </si>
  <si>
    <t>土地增值稅:           ㄧ般稅率之稅費約:</t>
    <phoneticPr fontId="2" type="noConversion"/>
  </si>
  <si>
    <t>元</t>
    <phoneticPr fontId="2" type="noConversion"/>
  </si>
  <si>
    <t xml:space="preserve">                                自用優惠稅率之稅費:</t>
    <phoneticPr fontId="2" type="noConversion"/>
  </si>
  <si>
    <t>*</t>
    <phoneticPr fontId="2" type="noConversion"/>
  </si>
  <si>
    <t>以上稅額會因過戶申報時點將影響長期持有期限之計算,故暫以本表列印日期為截止日,實際金額仍以稅捐機關核發稅單為準</t>
    <phoneticPr fontId="2" type="noConversion"/>
  </si>
  <si>
    <t>*</t>
    <phoneticPr fontId="2" type="noConversion"/>
  </si>
  <si>
    <t>因各月物價指數波動會影響增值稅金額,若要收訂斡前須再確認</t>
    <phoneticPr fontId="2" type="noConversion"/>
  </si>
  <si>
    <t>每年1月公告現值調整,將影響增值稅金額,需重新計算</t>
    <phoneticPr fontId="2" type="noConversion"/>
  </si>
  <si>
    <t>工程受益費:簽約日前已開徵或已開徵未到期(含緩徵)者,由賣方負擔</t>
    <phoneticPr fontId="2" type="noConversion"/>
  </si>
  <si>
    <t>地價稅:依最近一年稅費概估     ㄧ般稅率之稅費約</t>
    <phoneticPr fontId="2" type="noConversion"/>
  </si>
  <si>
    <t>元</t>
    <phoneticPr fontId="2" type="noConversion"/>
  </si>
  <si>
    <t xml:space="preserve">                                                      自用稅率之稅費約</t>
    <phoneticPr fontId="2" type="noConversion"/>
  </si>
  <si>
    <t>元,實際稅額以所核</t>
    <phoneticPr fontId="2" type="noConversion"/>
  </si>
  <si>
    <t>發稅單為準,交屋日時依所有權人目前稅額按實際使用比例分算,若遇公告地價調整,另行計算</t>
    <phoneticPr fontId="2" type="noConversion"/>
  </si>
  <si>
    <t>房屋稅:委託人無法即時提供稅單資料,故無法概算(於交屋日依實際使用比例分算)</t>
    <phoneticPr fontId="2" type="noConversion"/>
  </si>
  <si>
    <t xml:space="preserve">            住家用按房屋現值 ＊ 1.2%</t>
    <phoneticPr fontId="2" type="noConversion"/>
  </si>
  <si>
    <t xml:space="preserve">            營業用按房屋現值 ＊ 3 %</t>
    <phoneticPr fontId="2" type="noConversion"/>
  </si>
  <si>
    <t>水、電、瓦斯費、管理費等雜項費用(於交屋日依實際使用比例分算)</t>
    <phoneticPr fontId="2" type="noConversion"/>
  </si>
  <si>
    <t>抵押權塗銷代書費:ㄧ順位1500元</t>
    <phoneticPr fontId="2" type="noConversion"/>
  </si>
  <si>
    <t>財產交易所得稅(併入綜合所得於每年申報所得稅時申報)</t>
    <phoneticPr fontId="2" type="noConversion"/>
  </si>
  <si>
    <t>仲介服務費:按實際成交價格的百分之四</t>
    <phoneticPr fontId="2" type="noConversion"/>
  </si>
  <si>
    <t xml:space="preserve">  ******************************  買  方  支  付  項  目  ************************************</t>
    <phoneticPr fontId="2" type="noConversion"/>
  </si>
  <si>
    <t>契   稅:委託人無法及時提供稅單資料,故無法概算</t>
    <phoneticPr fontId="2" type="noConversion"/>
  </si>
  <si>
    <t xml:space="preserve">         按核定契價＊ 6 %</t>
    <phoneticPr fontId="2" type="noConversion"/>
  </si>
  <si>
    <t>印花稅:委託人無法及時提供稅單資料,故無法概算</t>
    <phoneticPr fontId="2" type="noConversion"/>
  </si>
  <si>
    <t xml:space="preserve">             按[核定契價+(土地公告現值*面積*持份)]＊ 0.1 %</t>
    <phoneticPr fontId="2" type="noConversion"/>
  </si>
  <si>
    <t>過戶代書費:約新台幣18000元,若需辦理貸款, 毎筆設定代書費3000元,設定規費及火險費依實際發生單據支付</t>
    <phoneticPr fontId="2" type="noConversion"/>
  </si>
  <si>
    <t>地價稅:依最近一年稅費概估     ㄧ般稅率之稅費約</t>
    <phoneticPr fontId="2" type="noConversion"/>
  </si>
  <si>
    <t>元</t>
    <phoneticPr fontId="2" type="noConversion"/>
  </si>
  <si>
    <t xml:space="preserve">                                                      自用稅率之稅費約</t>
    <phoneticPr fontId="2" type="noConversion"/>
  </si>
  <si>
    <t>元,實際稅額以所核</t>
    <phoneticPr fontId="2" type="noConversion"/>
  </si>
  <si>
    <t>發稅單為準,交屋日時依所有權人目前稅額按實際使用比例分算,若遇公告地價調整,另行計算</t>
    <phoneticPr fontId="2" type="noConversion"/>
  </si>
  <si>
    <t>房屋稅:委託人無法即時提供稅單資料,故無法概算(於交屋日依實際使用比例分算)</t>
    <phoneticPr fontId="2" type="noConversion"/>
  </si>
  <si>
    <t xml:space="preserve">            住家用按房屋現值 ＊ 1.2%</t>
    <phoneticPr fontId="2" type="noConversion"/>
  </si>
  <si>
    <t xml:space="preserve">            營業用按房屋現值 ＊ 3 %</t>
    <phoneticPr fontId="2" type="noConversion"/>
  </si>
  <si>
    <t>水、電、瓦斯費、管理費等雜項費用(於交屋日依實際使用比例分算)</t>
    <phoneticPr fontId="2" type="noConversion"/>
  </si>
  <si>
    <t>火險、地震險:若承買人向金融機構貸款始有此項費用,其金額依保險公司費率計算</t>
    <phoneticPr fontId="2" type="noConversion"/>
  </si>
  <si>
    <t>工程受益費:簽約日前已開徵或已開徵未到期(含緩徵)者,由賣方負擔,如未公告則由買方負擔,如已公告未開徵或未到期者應由雙方各負擔二分之ㄧ</t>
    <phoneticPr fontId="2" type="noConversion"/>
  </si>
  <si>
    <t>登記規費(不含書狀費):委託人無法及時提供稅單資料,故無法概算</t>
    <phoneticPr fontId="2" type="noConversion"/>
  </si>
  <si>
    <t>仲介服務費:按實際成交價格的百分之二</t>
    <phoneticPr fontId="2" type="noConversion"/>
  </si>
  <si>
    <t xml:space="preserve">    附註:以上買賣雙方支付項目為ㄧ般原則若雙方另以契約約定從其約定</t>
    <phoneticPr fontId="2" type="noConversion"/>
  </si>
  <si>
    <t>一.</t>
    <phoneticPr fontId="2" type="noConversion"/>
  </si>
  <si>
    <t>買賣雙方就本標的物買賣事宜,已確知以下事項,並知悉其權利義務:</t>
    <phoneticPr fontId="2" type="noConversion"/>
  </si>
  <si>
    <t>*樓高六層以上之集合住宅亦屬公眾使用建築物,其中任一樓層室內裝修前均應依「建築法」及「建築物室內裝修管理辦法」有關規定申請審查,並經取得許可文件後, 始得施工。申請方式請檢附圖說等相關文件或委由室內裝修業者向各區縣市政府工務局辦理, 以免受罰。</t>
    <phoneticPr fontId="2" type="noConversion"/>
  </si>
  <si>
    <t>*本物件謄本登記之主要用途為空白,使用執照登記為集合住宅,本說明書依使用執照為登錄依據</t>
    <phoneticPr fontId="2" type="noConversion"/>
  </si>
  <si>
    <t>*主建物面積&gt;112平方公尺,不能辦理國宅貸款。</t>
    <phoneticPr fontId="2" type="noConversion"/>
  </si>
  <si>
    <t>*本物件建築完成日期係依建築物謄本標示部第 ㄧ次登記日期為準。</t>
    <phoneticPr fontId="2" type="noConversion"/>
  </si>
  <si>
    <t>*本物件法定空地之增建物為未經合法建管程序建築之使用範圍,係屬違建,其是否占用鄰地或公共設施用地需辦理土地鑑界方能確定</t>
    <phoneticPr fontId="2" type="noConversion"/>
  </si>
  <si>
    <t>*本物件頂樓、陽台、天井、平台外推之增建物為未經合法建管程序建築之使用範圍,係屬違建。</t>
    <phoneticPr fontId="2" type="noConversion"/>
  </si>
  <si>
    <t>*本物件現況夾層係屬非合法夾層,簽約前須與金融機構確認貸款條件</t>
    <phoneticPr fontId="2" type="noConversion"/>
  </si>
  <si>
    <t>*主建物面積是否含當層電樓梯間,須比對建築物測量成果圖及實際現況方能確定。</t>
    <phoneticPr fontId="2" type="noConversion"/>
  </si>
  <si>
    <t>*本物件經上網查詢台北市政府工務局網站本標的曾被列為違建查報案件。</t>
    <phoneticPr fontId="2" type="noConversion"/>
  </si>
  <si>
    <t>*建物各項面積合計係依地政機關登記簿謄本登載的面積平方公尺換算為坪所得。(1平方公尺=0.3025坪)，小數點第三位四捨五入取二位)。</t>
    <phoneticPr fontId="2" type="noConversion"/>
  </si>
  <si>
    <t>*本物件222地號土地使用分區為第參種住宅區及道路用地（公共設施用地），係道路用地尚未分割，該部份日後將被徵收，若過戶前該部份已辦妥分割並公告徵收禁止移轉，則該部份不列入移轉範圍，但價金是否增減或補償費處理問題，買賣雙方須事先明定。</t>
    <phoneticPr fontId="2" type="noConversion"/>
  </si>
  <si>
    <t>*本物件成交後辦理產權移轉手續時，若有委託人未提供之土地地號，但地政機關查到所有權人持有同為建築基地之其他筆土地須併同移轉之情形時，委託人應無條件配合辦理，並自行負擔該土地之土地增值稅及其他相關費用。</t>
    <phoneticPr fontId="2" type="noConversion"/>
  </si>
  <si>
    <t>*本物件222地號土地使用分區為第參種住宅區及道路用地（公共設施用地），建物是否坐落道路用地，須待申請都市計畫圖方能確定，買賣雙方同意：之後都市計畫圖核發後若建物有坐落公共設施用地，則無條件解除契約。</t>
    <phoneticPr fontId="2" type="noConversion"/>
  </si>
  <si>
    <t>*建物登記用途請以地政機關辦法為準。</t>
    <phoneticPr fontId="2" type="noConversion"/>
  </si>
  <si>
    <t>二</t>
    <phoneticPr fontId="2" type="noConversion"/>
  </si>
  <si>
    <t>買方若欲辦理優惠性貸款（公教、國宅、勞工、首購等）其應具備之資格及條件，由買方自行負責，若因金融機關提供之優惠貸款額度不足時，買方同意依一般利率完成貸款交屋手續。</t>
    <phoneticPr fontId="2" type="noConversion"/>
  </si>
  <si>
    <t>*本物件陽台外移、頂樓加蓋之增建物為未經合法建管程序建築之使用範圍，係屬違建；另收定斡旋前須確認所有權人是否有頂樓加蓋使用權，若該加蓋建物有房屋稅籍，則簽約前須出具該房屋稅籍證明，以確認納稅義務人是否為本案所有權人，且過戶時須辦理房屋稅籍更名。</t>
    <phoneticPr fontId="2" type="noConversion"/>
  </si>
  <si>
    <t>三</t>
    <phoneticPr fontId="2" type="noConversion"/>
  </si>
  <si>
    <t>買方就承購本標的物若欲供營業用途時，請自行確認是否能辦理公司營業登記等相關事宜。住商不動產不保證買方一定可以辦理工商登記。</t>
    <phoneticPr fontId="2" type="noConversion"/>
  </si>
  <si>
    <t>*本物件謄本登記之主要用途與建物測量成果圖及使用執照登記者不符，本不動產說明書以謄本為登錄依據，若須申請優惠購屋貸款，收定前須先確認。</t>
    <phoneticPr fontId="2" type="noConversion"/>
  </si>
  <si>
    <t>四</t>
    <phoneticPr fontId="2" type="noConversion"/>
  </si>
  <si>
    <t>增建部份（含頂樓、露台、夾層、一樓空地、平台、一樓圍牆、天井、防火巷、陽台外推、上下樓層打通之內梯等），無所有權，不保證過去沒有被通知拆除或未來不會被拆除及可永久使用，買方已知悉增建所在位置及其權利、義務。</t>
    <phoneticPr fontId="2" type="noConversion"/>
  </si>
  <si>
    <t>*本案為土地或二十年以上屋齡之透天厝,買方如欲新建或改建,建議於收訂前徵詢專業建築師之意見;另買方若欲確認土地界址,建議買賣雙方可於過戶前辦理土地鑑界方能確定</t>
    <phoneticPr fontId="2" type="noConversion"/>
  </si>
  <si>
    <t>五</t>
    <phoneticPr fontId="2" type="noConversion"/>
  </si>
  <si>
    <t>本案若有頂樓、一樓前後院空地增建者，買方願依原住戶間協議或使用習慣承受。</t>
    <phoneticPr fontId="2" type="noConversion"/>
  </si>
  <si>
    <t>*本物件現況之原隔間已拆除，但登記之建物建號未合併。（若分開出售，以下注意事項始須轉載至契據上）本物件現況之原隔間牆已拆除，但登記之建物建號並合併，茲因擬分開出售，故定金需暫存住商不動產仁愛鳳翔店,買賣雙方於收訂前須先約定以下程序所發生費用之分擔方式, 且原共用之設施(如:水電錶、冷熱水管電線等)須恢復個別獨立使用,過戶前所有權人需提供水電、瓦斯單據公確認水電、瓦斯管線是否已為獨立使用:(1)過戶前,需將隔間牆依竣工圖重新隔間(2)若未依竣工圖施作隔間牆,則簽約前須辦竣建物建號合併再分割,並依新分割後謄本登記之建物面積為準,若與原登記面積不符,因此而產生之價差,須於合約中明確訂定價金補貼方式及若無法於約定期限內辦妥建物分割之後續合約履行方式</t>
    <phoneticPr fontId="2" type="noConversion"/>
  </si>
  <si>
    <t>六</t>
    <phoneticPr fontId="2" type="noConversion"/>
  </si>
  <si>
    <t>本案買方並未承購停車位者，買方同意依原住戶間協議或大樓管委會規定及住戶規約來使用持分共有地下室、停車空間。</t>
    <phoneticPr fontId="2" type="noConversion"/>
  </si>
  <si>
    <t>*本建物因建物謄本未登記建築完成日期,在此以使用執照之發照日期登錄,實際建築完成日期可能在此之前</t>
    <phoneticPr fontId="2" type="noConversion"/>
  </si>
  <si>
    <t>七</t>
    <phoneticPr fontId="2" type="noConversion"/>
  </si>
  <si>
    <t>依稅法規定，「先賣後買」或「先買後賣」符合條件者，得向稅捐機關辦理增值稅重購退稅。買賣方如欲辦理退稅時，應自行洽詢稅捐機關以確認資格是否相符，住商不動產不保證一定可以辦理重購退稅。</t>
    <phoneticPr fontId="2" type="noConversion"/>
  </si>
  <si>
    <t>約18000</t>
    <phoneticPr fontId="2" type="noConversion"/>
  </si>
  <si>
    <t>基地面積:</t>
    <phoneticPr fontId="2" type="noConversion"/>
  </si>
  <si>
    <t>建敝率:</t>
    <phoneticPr fontId="2" type="noConversion"/>
  </si>
  <si>
    <t>容積率:</t>
    <phoneticPr fontId="2" type="noConversion"/>
  </si>
  <si>
    <t>格局</t>
    <phoneticPr fontId="2" type="noConversion"/>
  </si>
  <si>
    <t>屋齡</t>
    <phoneticPr fontId="2" type="noConversion"/>
  </si>
  <si>
    <t>樓層</t>
    <phoneticPr fontId="2" type="noConversion"/>
  </si>
  <si>
    <t>樓層:</t>
    <phoneticPr fontId="2" type="noConversion"/>
  </si>
  <si>
    <t>照片</t>
    <phoneticPr fontId="2" type="noConversion"/>
  </si>
  <si>
    <t>地圖</t>
    <phoneticPr fontId="2" type="noConversion"/>
  </si>
  <si>
    <t>特  色</t>
    <phoneticPr fontId="2" type="noConversion"/>
  </si>
  <si>
    <t>請洽27713366</t>
    <phoneticPr fontId="2" type="noConversion"/>
  </si>
  <si>
    <t>平方公尺</t>
    <phoneticPr fontId="2" type="noConversion"/>
  </si>
  <si>
    <t>權利範圍:</t>
    <phoneticPr fontId="2" type="noConversion"/>
  </si>
  <si>
    <t>分之</t>
    <phoneticPr fontId="2" type="noConversion"/>
  </si>
  <si>
    <t>使用分區:</t>
    <phoneticPr fontId="2" type="noConversion"/>
  </si>
  <si>
    <t>土地謄本</t>
    <phoneticPr fontId="2" type="noConversion"/>
  </si>
  <si>
    <t>主建物:</t>
    <phoneticPr fontId="2" type="noConversion"/>
  </si>
  <si>
    <t>物編:</t>
    <phoneticPr fontId="2" type="noConversion"/>
  </si>
  <si>
    <t>總價</t>
    <phoneticPr fontId="2" type="noConversion"/>
  </si>
  <si>
    <t>坪數</t>
    <phoneticPr fontId="2" type="noConversion"/>
  </si>
  <si>
    <t>格局</t>
    <phoneticPr fontId="2" type="noConversion"/>
  </si>
  <si>
    <t>特  色</t>
    <phoneticPr fontId="2" type="noConversion"/>
  </si>
  <si>
    <t>萬</t>
    <phoneticPr fontId="2" type="noConversion"/>
  </si>
  <si>
    <t>樓層</t>
    <phoneticPr fontId="2" type="noConversion"/>
  </si>
  <si>
    <t>坪</t>
    <phoneticPr fontId="2" type="noConversion"/>
  </si>
  <si>
    <t>車位</t>
    <phoneticPr fontId="2" type="noConversion"/>
  </si>
  <si>
    <t>屋齡</t>
    <phoneticPr fontId="2" type="noConversion"/>
  </si>
  <si>
    <t>年</t>
    <phoneticPr fontId="2" type="noConversion"/>
  </si>
  <si>
    <t>特利屋物件編號:</t>
    <phoneticPr fontId="2" type="noConversion"/>
  </si>
  <si>
    <t>圓環靜巷頂加</t>
    <phoneticPr fontId="2" type="noConversion"/>
  </si>
  <si>
    <t>物編:001997</t>
    <phoneticPr fontId="2" type="noConversion"/>
  </si>
  <si>
    <t>7/7F</t>
    <phoneticPr fontId="2" type="noConversion"/>
  </si>
  <si>
    <t>4/2/2</t>
    <phoneticPr fontId="2" type="noConversion"/>
  </si>
  <si>
    <t xml:space="preserve">1.雙仁愛學區燙金地段 </t>
    <phoneticPr fontId="2" type="noConversion"/>
  </si>
  <si>
    <t>2.生活機能完善</t>
    <phoneticPr fontId="2" type="noConversion"/>
  </si>
  <si>
    <t xml:space="preserve">3.雙併住戶單純水準高 </t>
    <phoneticPr fontId="2" type="noConversion"/>
  </si>
  <si>
    <t>4.陽台外推使用</t>
    <phoneticPr fontId="2" type="noConversion"/>
  </si>
  <si>
    <t>路段:</t>
    <phoneticPr fontId="2" type="noConversion"/>
  </si>
  <si>
    <t>地   址:</t>
    <phoneticPr fontId="2" type="noConversion"/>
  </si>
  <si>
    <t>注意以上空格要空白要key:    '      ,不然會呈現      0</t>
    <phoneticPr fontId="2" type="noConversion"/>
  </si>
  <si>
    <t>格局:</t>
    <phoneticPr fontId="2" type="noConversion"/>
  </si>
  <si>
    <t>座向:</t>
    <phoneticPr fontId="2" type="noConversion"/>
  </si>
  <si>
    <t>主要用途</t>
    <phoneticPr fontId="2" type="noConversion"/>
  </si>
  <si>
    <t>雨遮/花台</t>
    <phoneticPr fontId="2" type="noConversion"/>
  </si>
  <si>
    <t>陽台/平台/露臺:</t>
    <phoneticPr fontId="2" type="noConversion"/>
  </si>
  <si>
    <t>公設</t>
    <phoneticPr fontId="2" type="noConversion"/>
  </si>
  <si>
    <t>地下室</t>
    <phoneticPr fontId="2" type="noConversion"/>
  </si>
  <si>
    <t>地下室公設</t>
    <phoneticPr fontId="2" type="noConversion"/>
  </si>
  <si>
    <t>車位</t>
    <phoneticPr fontId="2" type="noConversion"/>
  </si>
  <si>
    <t>主要用途</t>
    <phoneticPr fontId="2" type="noConversion"/>
  </si>
  <si>
    <t>看屋方式:</t>
  </si>
  <si>
    <t>違建部份:</t>
    <phoneticPr fontId="2" type="noConversion"/>
  </si>
  <si>
    <t/>
  </si>
  <si>
    <t>建物名稱排序如下</t>
    <phoneticPr fontId="2" type="noConversion"/>
  </si>
  <si>
    <t xml:space="preserve">無 </t>
    <phoneticPr fontId="2" type="noConversion"/>
  </si>
  <si>
    <t>近捷運西門站</t>
    <phoneticPr fontId="2" type="noConversion"/>
  </si>
  <si>
    <t>一層:</t>
    <phoneticPr fontId="2" type="noConversion"/>
  </si>
  <si>
    <t>無</t>
    <phoneticPr fontId="2" type="noConversion"/>
  </si>
  <si>
    <t>無</t>
    <phoneticPr fontId="2" type="noConversion"/>
  </si>
  <si>
    <t>無</t>
    <phoneticPr fontId="2" type="noConversion"/>
  </si>
  <si>
    <t>物編:</t>
    <phoneticPr fontId="2" type="noConversion"/>
  </si>
  <si>
    <t>總價</t>
    <phoneticPr fontId="2" type="noConversion"/>
  </si>
  <si>
    <t>萬</t>
    <phoneticPr fontId="2" type="noConversion"/>
  </si>
  <si>
    <t>坪數</t>
    <phoneticPr fontId="2" type="noConversion"/>
  </si>
  <si>
    <t>坪</t>
    <phoneticPr fontId="2" type="noConversion"/>
  </si>
  <si>
    <t>格局</t>
    <phoneticPr fontId="2" type="noConversion"/>
  </si>
  <si>
    <t>車位</t>
    <phoneticPr fontId="2" type="noConversion"/>
  </si>
  <si>
    <t>樓層</t>
    <phoneticPr fontId="2" type="noConversion"/>
  </si>
  <si>
    <t>屋齡</t>
    <phoneticPr fontId="2" type="noConversion"/>
  </si>
  <si>
    <t>年</t>
    <phoneticPr fontId="2" type="noConversion"/>
  </si>
  <si>
    <t>特  色</t>
    <phoneticPr fontId="2" type="noConversion"/>
  </si>
  <si>
    <t>照片</t>
    <phoneticPr fontId="2" type="noConversion"/>
  </si>
  <si>
    <t>地圖</t>
    <phoneticPr fontId="2" type="noConversion"/>
  </si>
  <si>
    <t>地號</t>
    <phoneticPr fontId="2" type="noConversion"/>
  </si>
  <si>
    <t>基地面積:</t>
    <phoneticPr fontId="2" type="noConversion"/>
  </si>
  <si>
    <t>坪</t>
    <phoneticPr fontId="2" type="noConversion"/>
  </si>
  <si>
    <t>分區</t>
    <phoneticPr fontId="2" type="noConversion"/>
  </si>
  <si>
    <t>持分:</t>
    <phoneticPr fontId="2" type="noConversion"/>
  </si>
  <si>
    <t>土地持分合計:</t>
    <phoneticPr fontId="2" type="noConversion"/>
  </si>
  <si>
    <t>一、土地標示:</t>
    <phoneticPr fontId="2" type="noConversion"/>
  </si>
  <si>
    <t>座落:</t>
    <phoneticPr fontId="2" type="noConversion"/>
  </si>
  <si>
    <t>基地面積</t>
    <phoneticPr fontId="2" type="noConversion"/>
  </si>
  <si>
    <t>平方公尺</t>
    <phoneticPr fontId="2" type="noConversion"/>
  </si>
  <si>
    <t>，約</t>
    <phoneticPr fontId="2" type="noConversion"/>
  </si>
  <si>
    <t>權利範圍</t>
    <phoneticPr fontId="2" type="noConversion"/>
  </si>
  <si>
    <t>分之</t>
    <phoneticPr fontId="2" type="noConversion"/>
  </si>
  <si>
    <t>持分面積</t>
    <phoneticPr fontId="2" type="noConversion"/>
  </si>
  <si>
    <t>使用分區</t>
    <phoneticPr fontId="2" type="noConversion"/>
  </si>
  <si>
    <t>建敝率</t>
    <phoneticPr fontId="2" type="noConversion"/>
  </si>
  <si>
    <t>(依各縣市政府規定)</t>
    <phoneticPr fontId="2" type="noConversion"/>
  </si>
  <si>
    <t>容積率</t>
    <phoneticPr fontId="2" type="noConversion"/>
  </si>
  <si>
    <t>座落:</t>
    <phoneticPr fontId="2" type="noConversion"/>
  </si>
  <si>
    <t>平方公尺</t>
    <phoneticPr fontId="2" type="noConversion"/>
  </si>
  <si>
    <t>，約</t>
    <phoneticPr fontId="2" type="noConversion"/>
  </si>
  <si>
    <t>坪</t>
    <phoneticPr fontId="2" type="noConversion"/>
  </si>
  <si>
    <t>權利範圍</t>
    <phoneticPr fontId="2" type="noConversion"/>
  </si>
  <si>
    <t>分之</t>
    <phoneticPr fontId="2" type="noConversion"/>
  </si>
  <si>
    <t>坪</t>
    <phoneticPr fontId="2" type="noConversion"/>
  </si>
  <si>
    <t>使用分區</t>
    <phoneticPr fontId="2" type="noConversion"/>
  </si>
  <si>
    <t>基地面積</t>
    <phoneticPr fontId="2" type="noConversion"/>
  </si>
  <si>
    <t>平方公尺</t>
    <phoneticPr fontId="2" type="noConversion"/>
  </si>
  <si>
    <t>，約</t>
    <phoneticPr fontId="2" type="noConversion"/>
  </si>
  <si>
    <t>坪</t>
    <phoneticPr fontId="2" type="noConversion"/>
  </si>
  <si>
    <t>使用分區</t>
    <phoneticPr fontId="2" type="noConversion"/>
  </si>
  <si>
    <t>坪</t>
    <phoneticPr fontId="2" type="noConversion"/>
  </si>
  <si>
    <t>權利範圍</t>
    <phoneticPr fontId="2" type="noConversion"/>
  </si>
  <si>
    <t>土地持份合計</t>
    <phoneticPr fontId="2" type="noConversion"/>
  </si>
  <si>
    <t>他項            權利</t>
    <phoneticPr fontId="2" type="noConversion"/>
  </si>
  <si>
    <t>權利種類</t>
    <phoneticPr fontId="2" type="noConversion"/>
  </si>
  <si>
    <t>順位</t>
    <phoneticPr fontId="2" type="noConversion"/>
  </si>
  <si>
    <t>內容</t>
    <phoneticPr fontId="2" type="noConversion"/>
  </si>
  <si>
    <t>權利人</t>
    <phoneticPr fontId="2" type="noConversion"/>
  </si>
  <si>
    <t>(依市政府 地政機關 登記謄本為準)</t>
    <phoneticPr fontId="2" type="noConversion"/>
  </si>
  <si>
    <t>限制登記             情形</t>
    <phoneticPr fontId="2" type="noConversion"/>
  </si>
  <si>
    <r>
      <t>＊若土地使用分區為:【第X種商業區</t>
    </r>
    <r>
      <rPr>
        <sz val="8"/>
        <rFont val="標楷體"/>
        <family val="4"/>
        <charset val="136"/>
      </rPr>
      <t>或住宅區</t>
    </r>
    <r>
      <rPr>
        <sz val="10"/>
        <rFont val="標楷體"/>
        <family val="4"/>
        <charset val="136"/>
      </rPr>
      <t>,原屬XX區】,</t>
    </r>
    <r>
      <rPr>
        <b/>
        <sz val="10"/>
        <rFont val="標楷體"/>
        <family val="4"/>
        <charset val="136"/>
      </rPr>
      <t>用途</t>
    </r>
    <r>
      <rPr>
        <sz val="10"/>
        <rFont val="標楷體"/>
        <family val="4"/>
        <charset val="136"/>
      </rPr>
      <t>及</t>
    </r>
    <r>
      <rPr>
        <b/>
        <sz val="10"/>
        <rFont val="標楷體"/>
        <family val="4"/>
        <charset val="136"/>
      </rPr>
      <t>建蔽率容積率</t>
    </r>
    <r>
      <rPr>
        <sz val="10"/>
        <rFont val="標楷體"/>
        <family val="4"/>
        <charset val="136"/>
      </rPr>
      <t>仍需依原屬分區允許之使用組別, 若欲作調整後之區所允許之組別項目使用,需繳交回饋金始得變更</t>
    </r>
    <phoneticPr fontId="2" type="noConversion"/>
  </si>
  <si>
    <t>＊本表所述法定建蔽率及容積率,係指僅該地號依其所屬之分區,查對本不動產說明書製作當時之土地使用管制規則規定之法定建蔽率及法定容積率最高限制,但實際使用方式仍需請建築師按土地個別條件及其他相關限制進行規劃利用</t>
    <phoneticPr fontId="2" type="noConversion"/>
  </si>
  <si>
    <t>地號:</t>
    <phoneticPr fontId="2" type="noConversion"/>
  </si>
  <si>
    <t>基地面積:</t>
    <phoneticPr fontId="2" type="noConversion"/>
  </si>
  <si>
    <t>平方公尺</t>
    <phoneticPr fontId="2" type="noConversion"/>
  </si>
  <si>
    <t>權利範圍:</t>
    <phoneticPr fontId="2" type="noConversion"/>
  </si>
  <si>
    <t>分之</t>
    <phoneticPr fontId="2" type="noConversion"/>
  </si>
  <si>
    <t>使用分區:</t>
    <phoneticPr fontId="2" type="noConversion"/>
  </si>
  <si>
    <t>建敝率:</t>
    <phoneticPr fontId="2" type="noConversion"/>
  </si>
  <si>
    <t>容積率:</t>
    <phoneticPr fontId="2" type="noConversion"/>
  </si>
  <si>
    <t>持分:</t>
    <phoneticPr fontId="2" type="noConversion"/>
  </si>
  <si>
    <t>約</t>
    <phoneticPr fontId="2" type="noConversion"/>
  </si>
  <si>
    <t>合計</t>
    <phoneticPr fontId="2" type="noConversion"/>
  </si>
  <si>
    <t>案名:</t>
    <phoneticPr fontId="2" type="noConversion"/>
  </si>
  <si>
    <t>西門黃金店面</t>
  </si>
  <si>
    <t>製作物調人員及日期:</t>
    <phoneticPr fontId="2" type="noConversion"/>
  </si>
  <si>
    <t>8/5沛蓁</t>
    <phoneticPr fontId="2" type="noConversion"/>
  </si>
  <si>
    <t>審查人員及日期:</t>
    <phoneticPr fontId="2" type="noConversion"/>
  </si>
  <si>
    <t>租OR售</t>
    <phoneticPr fontId="2" type="noConversion"/>
  </si>
  <si>
    <t>售</t>
    <phoneticPr fontId="2" type="noConversion"/>
  </si>
  <si>
    <t>區域:</t>
    <phoneticPr fontId="2" type="noConversion"/>
  </si>
  <si>
    <t>台北市萬華區</t>
    <phoneticPr fontId="2" type="noConversion"/>
  </si>
  <si>
    <t>此格為路/段/巷/弄</t>
    <phoneticPr fontId="2" type="noConversion"/>
  </si>
  <si>
    <t>此格為號樓之幾(正確)</t>
    <phoneticPr fontId="2" type="noConversion"/>
  </si>
  <si>
    <t>地址:</t>
    <phoneticPr fontId="2" type="noConversion"/>
  </si>
  <si>
    <t xml:space="preserve">台北市萬華區      </t>
    <phoneticPr fontId="2" type="noConversion"/>
  </si>
  <si>
    <t>成都路</t>
    <phoneticPr fontId="2" type="noConversion"/>
  </si>
  <si>
    <t>92號</t>
    <phoneticPr fontId="2" type="noConversion"/>
  </si>
  <si>
    <t>製作單位:</t>
    <phoneticPr fontId="2" type="noConversion"/>
  </si>
  <si>
    <t>住商仁愛鳳翔加盟店 (願景不動產仲介股份有限公司)</t>
    <phoneticPr fontId="2" type="noConversion"/>
  </si>
  <si>
    <t>經紀營業員:</t>
    <phoneticPr fontId="2" type="noConversion"/>
  </si>
  <si>
    <t>王馨霈.李宏泉</t>
    <phoneticPr fontId="2" type="noConversion"/>
  </si>
  <si>
    <t>主要用途:</t>
    <phoneticPr fontId="2" type="noConversion"/>
  </si>
  <si>
    <t>(空白)</t>
    <phoneticPr fontId="2" type="noConversion"/>
  </si>
  <si>
    <t>請按建物謄本上之主要用途key in</t>
    <phoneticPr fontId="2" type="noConversion"/>
  </si>
  <si>
    <t>房屋現況:</t>
    <phoneticPr fontId="2" type="noConversion"/>
  </si>
  <si>
    <t>出租</t>
    <phoneticPr fontId="2" type="noConversion"/>
  </si>
  <si>
    <t>建物名稱:</t>
    <phoneticPr fontId="2" type="noConversion"/>
  </si>
  <si>
    <t xml:space="preserve">無 </t>
    <phoneticPr fontId="2" type="noConversion"/>
  </si>
  <si>
    <t>總價:</t>
    <phoneticPr fontId="2" type="noConversion"/>
  </si>
  <si>
    <t>萬</t>
    <phoneticPr fontId="2" type="noConversion"/>
  </si>
  <si>
    <t>建築完成日:</t>
    <phoneticPr fontId="2" type="noConversion"/>
  </si>
  <si>
    <t>屋齡:</t>
    <phoneticPr fontId="2" type="noConversion"/>
  </si>
  <si>
    <t>主要建材:</t>
    <phoneticPr fontId="2" type="noConversion"/>
  </si>
  <si>
    <t>加強磚造</t>
  </si>
  <si>
    <t>地上共7層/地下0層;本建物在第1~2層</t>
    <phoneticPr fontId="2" type="noConversion"/>
  </si>
  <si>
    <t>1~2/7F</t>
    <phoneticPr fontId="2" type="noConversion"/>
  </si>
  <si>
    <t>0/2/2</t>
    <phoneticPr fontId="2" type="noConversion"/>
  </si>
  <si>
    <t>西門國小
龍山國中</t>
    <phoneticPr fontId="2" type="noConversion"/>
  </si>
  <si>
    <t>018155</t>
    <phoneticPr fontId="2" type="noConversion"/>
  </si>
  <si>
    <t>二層:</t>
    <phoneticPr fontId="2" type="noConversion"/>
  </si>
  <si>
    <t>騎樓:</t>
    <phoneticPr fontId="2" type="noConversion"/>
  </si>
  <si>
    <t>漢中段一小段257.258建號</t>
    <phoneticPr fontId="2" type="noConversion"/>
  </si>
  <si>
    <t>其他:</t>
    <phoneticPr fontId="2" type="noConversion"/>
  </si>
  <si>
    <t>漢中段一小段776地號</t>
    <phoneticPr fontId="2" type="noConversion"/>
  </si>
  <si>
    <t>漢中段一小段779地號</t>
    <phoneticPr fontId="2" type="noConversion"/>
  </si>
  <si>
    <t>漢中段一小段779-0001地號</t>
    <phoneticPr fontId="2" type="noConversion"/>
  </si>
  <si>
    <t>漢中段一小段780地號</t>
    <phoneticPr fontId="2" type="noConversion"/>
  </si>
  <si>
    <t>漢中段一小段780-0001地號</t>
    <phoneticPr fontId="2" type="noConversion"/>
  </si>
  <si>
    <t>商四</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</si>
</sst>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76" formatCode="0.00_ "/>
    <numFmt numFmtId="177" formatCode="0_ "/>
    <numFmt numFmtId="179" formatCode="0.0_ "/>
    <numFmt numFmtId="180" formatCode="[$-404]gge&quot;年&quot;m&quot;月&quot;d&quot;日&quot;;@"/>
    <numFmt numFmtId="181" formatCode="0_);[Red]\(0\)"/>
    <numFmt numFmtId="182" formatCode="0.000_ "/>
    <numFmt numFmtId="188" formatCode="0.000_);[Red]\(0.000\)"/>
  </numFmts>
  <fonts count="69">
    <font>
      <sz val="12"/>
      <name val="新細明體"/>
      <family val="1"/>
      <charset val="136"/>
    </font>
    <font>
      <sz val="12"/>
      <name val="新細明體"/>
      <family val="1"/>
      <charset val="136"/>
    </font>
    <font>
      <sz val="9"/>
      <name val="新細明體"/>
      <family val="1"/>
      <charset val="136"/>
    </font>
    <font>
      <sz val="24"/>
      <name val="標楷體"/>
      <family val="4"/>
      <charset val="136"/>
    </font>
    <font>
      <sz val="10"/>
      <name val="新細明體"/>
      <family val="1"/>
      <charset val="136"/>
    </font>
    <font>
      <sz val="20"/>
      <name val="標楷體"/>
      <family val="4"/>
      <charset val="136"/>
    </font>
    <font>
      <sz val="10"/>
      <name val="標楷體"/>
      <family val="4"/>
      <charset val="136"/>
    </font>
    <font>
      <sz val="16"/>
      <name val="標楷體"/>
      <family val="4"/>
      <charset val="136"/>
    </font>
    <font>
      <sz val="9"/>
      <color indexed="81"/>
      <name val="新細明體"/>
      <family val="1"/>
      <charset val="136"/>
    </font>
    <font>
      <b/>
      <sz val="9"/>
      <color indexed="81"/>
      <name val="新細明體"/>
      <family val="1"/>
      <charset val="136"/>
    </font>
    <font>
      <sz val="36"/>
      <name val="標楷體"/>
      <family val="4"/>
      <charset val="136"/>
    </font>
    <font>
      <sz val="12"/>
      <name val="細明體"/>
      <family val="3"/>
      <charset val="136"/>
    </font>
    <font>
      <sz val="14"/>
      <name val="標楷體"/>
      <family val="4"/>
      <charset val="136"/>
    </font>
    <font>
      <sz val="22"/>
      <name val="標楷體"/>
      <family val="4"/>
      <charset val="136"/>
    </font>
    <font>
      <sz val="12"/>
      <name val="標楷體"/>
      <family val="4"/>
      <charset val="136"/>
    </font>
    <font>
      <b/>
      <sz val="12"/>
      <name val="標楷體"/>
      <family val="4"/>
      <charset val="136"/>
    </font>
    <font>
      <sz val="11"/>
      <name val="標楷體"/>
      <family val="4"/>
      <charset val="136"/>
    </font>
    <font>
      <b/>
      <sz val="14"/>
      <name val="標楷體"/>
      <family val="4"/>
      <charset val="136"/>
    </font>
    <font>
      <sz val="28"/>
      <color indexed="10"/>
      <name val="標楷體"/>
      <family val="4"/>
      <charset val="136"/>
    </font>
    <font>
      <b/>
      <sz val="16"/>
      <color indexed="9"/>
      <name val="標楷體"/>
      <family val="4"/>
      <charset val="136"/>
    </font>
    <font>
      <sz val="12"/>
      <color indexed="10"/>
      <name val="標楷體"/>
      <family val="4"/>
      <charset val="136"/>
    </font>
    <font>
      <sz val="12"/>
      <name val="華康儷粗黑"/>
      <family val="3"/>
      <charset val="136"/>
    </font>
    <font>
      <sz val="28"/>
      <name val="華康儷粗黑"/>
      <family val="3"/>
      <charset val="136"/>
    </font>
    <font>
      <sz val="22"/>
      <name val="華康儷粗黑"/>
      <family val="3"/>
      <charset val="136"/>
    </font>
    <font>
      <sz val="26"/>
      <name val="華康儷粗黑"/>
      <family val="3"/>
      <charset val="136"/>
    </font>
    <font>
      <b/>
      <sz val="10"/>
      <name val="標楷體"/>
      <family val="4"/>
      <charset val="136"/>
    </font>
    <font>
      <b/>
      <sz val="48"/>
      <name val="標楷體"/>
      <family val="4"/>
      <charset val="136"/>
    </font>
    <font>
      <sz val="26"/>
      <name val="標楷體"/>
      <family val="4"/>
      <charset val="136"/>
    </font>
    <font>
      <b/>
      <sz val="33"/>
      <name val="標楷體"/>
      <family val="4"/>
      <charset val="136"/>
    </font>
    <font>
      <b/>
      <sz val="26"/>
      <name val="標楷體"/>
      <family val="4"/>
      <charset val="136"/>
    </font>
    <font>
      <sz val="30"/>
      <name val="標楷體"/>
      <family val="4"/>
      <charset val="136"/>
    </font>
    <font>
      <sz val="46"/>
      <name val="標楷體"/>
      <family val="4"/>
      <charset val="136"/>
    </font>
    <font>
      <sz val="8"/>
      <name val="標楷體"/>
      <family val="4"/>
      <charset val="136"/>
    </font>
    <font>
      <sz val="18"/>
      <name val="新細明體"/>
      <family val="1"/>
      <charset val="136"/>
    </font>
    <font>
      <sz val="36"/>
      <name val="華康儷粗黑"/>
      <family val="3"/>
      <charset val="136"/>
    </font>
    <font>
      <sz val="72"/>
      <name val="華康儷粗黑"/>
      <family val="3"/>
      <charset val="136"/>
    </font>
    <font>
      <sz val="68"/>
      <name val="華康儷粗黑"/>
      <family val="3"/>
      <charset val="136"/>
    </font>
    <font>
      <sz val="66"/>
      <name val="華康儷粗黑"/>
      <family val="3"/>
      <charset val="136"/>
    </font>
    <font>
      <sz val="48"/>
      <name val="華康儷粗黑"/>
      <family val="3"/>
      <charset val="136"/>
    </font>
    <font>
      <sz val="120"/>
      <name val="超研澤空疊圓"/>
      <family val="3"/>
      <charset val="136"/>
    </font>
    <font>
      <b/>
      <sz val="22"/>
      <name val="華康儷粗黑"/>
      <family val="3"/>
      <charset val="136"/>
    </font>
    <font>
      <b/>
      <sz val="48"/>
      <name val="華康儷粗黑"/>
      <family val="3"/>
      <charset val="136"/>
    </font>
    <font>
      <b/>
      <sz val="36"/>
      <name val="華康儷粗黑"/>
      <family val="3"/>
      <charset val="136"/>
    </font>
    <font>
      <b/>
      <sz val="26"/>
      <name val="華康儷粗黑"/>
      <family val="3"/>
      <charset val="136"/>
    </font>
    <font>
      <b/>
      <sz val="28"/>
      <name val="華康儷粗黑"/>
      <family val="3"/>
      <charset val="136"/>
    </font>
    <font>
      <b/>
      <sz val="18"/>
      <name val="華康儷粗黑"/>
      <family val="3"/>
      <charset val="136"/>
    </font>
    <font>
      <b/>
      <sz val="20"/>
      <name val="華康儷粗黑"/>
      <family val="3"/>
      <charset val="136"/>
    </font>
    <font>
      <b/>
      <sz val="9"/>
      <color indexed="81"/>
      <name val="Tahoma"/>
      <family val="2"/>
    </font>
    <font>
      <b/>
      <sz val="9"/>
      <color indexed="81"/>
      <name val="細明體"/>
      <family val="3"/>
      <charset val="136"/>
    </font>
    <font>
      <sz val="9"/>
      <color indexed="81"/>
      <name val="細明體"/>
      <family val="3"/>
      <charset val="136"/>
    </font>
    <font>
      <sz val="6"/>
      <name val="新細明體"/>
      <family val="1"/>
      <charset val="136"/>
    </font>
    <font>
      <b/>
      <sz val="16"/>
      <color indexed="81"/>
      <name val="新細明體"/>
      <family val="1"/>
      <charset val="136"/>
    </font>
    <font>
      <sz val="16"/>
      <color indexed="81"/>
      <name val="新細明體"/>
      <family val="1"/>
      <charset val="136"/>
    </font>
    <font>
      <sz val="9"/>
      <color indexed="81"/>
      <name val="Tahoma"/>
      <family val="2"/>
    </font>
    <font>
      <b/>
      <sz val="60"/>
      <name val="華康儷粗黑"/>
      <family val="3"/>
      <charset val="136"/>
    </font>
    <font>
      <b/>
      <sz val="34"/>
      <name val="華康儷粗黑"/>
      <family val="3"/>
      <charset val="136"/>
    </font>
    <font>
      <b/>
      <sz val="11"/>
      <name val="標楷體"/>
      <family val="4"/>
      <charset val="136"/>
    </font>
    <font>
      <b/>
      <sz val="8"/>
      <name val="標楷體"/>
      <family val="4"/>
      <charset val="136"/>
    </font>
    <font>
      <b/>
      <sz val="120"/>
      <color theme="0"/>
      <name val="文鼎粗黑"/>
      <family val="3"/>
      <charset val="136"/>
    </font>
    <font>
      <b/>
      <sz val="10"/>
      <color theme="0"/>
      <name val="文鼎粗黑"/>
      <family val="3"/>
      <charset val="136"/>
    </font>
    <font>
      <b/>
      <sz val="48"/>
      <color theme="0"/>
      <name val="文鼎粗黑"/>
      <family val="3"/>
      <charset val="136"/>
    </font>
    <font>
      <sz val="12"/>
      <color rgb="FFFF0000"/>
      <name val="新細明體"/>
      <family val="1"/>
      <charset val="136"/>
    </font>
    <font>
      <sz val="10"/>
      <color rgb="FFFF0000"/>
      <name val="新細明體"/>
      <family val="1"/>
      <charset val="136"/>
    </font>
    <font>
      <b/>
      <sz val="22"/>
      <color theme="0"/>
      <name val="華康儷粗黑"/>
      <family val="3"/>
      <charset val="136"/>
    </font>
    <font>
      <sz val="10"/>
      <color theme="0"/>
      <name val="文鼎粗黑"/>
      <family val="3"/>
      <charset val="136"/>
    </font>
    <font>
      <sz val="22"/>
      <color theme="0"/>
      <name val="華康儷粗黑"/>
      <family val="3"/>
      <charset val="136"/>
    </font>
    <font>
      <sz val="12"/>
      <color theme="0"/>
      <name val="華康儷粗黑"/>
      <family val="3"/>
      <charset val="136"/>
    </font>
    <font>
      <b/>
      <sz val="12"/>
      <color theme="0"/>
      <name val="華康儷粗黑"/>
      <family val="3"/>
      <charset val="136"/>
    </font>
    <font>
      <b/>
      <sz val="100"/>
      <color theme="0"/>
      <name val="文鼎粗黑"/>
      <family val="3"/>
      <charset val="136"/>
    </font>
  </fonts>
  <fills count="8">
    <fill>
      <patternFill patternType="none"/>
    </fill>
    <fill>
      <patternFill patternType="gray125"/>
    </fill>
    <fill>
      <patternFill patternType="solid">
        <fgColor indexed="43"/>
        <bgColor indexed="64"/>
      </patternFill>
    </fill>
    <fill>
      <patternFill patternType="solid">
        <fgColor indexed="46"/>
        <bgColor indexed="64"/>
      </patternFill>
    </fill>
    <fill>
      <patternFill patternType="solid">
        <fgColor rgb="FFFF0000"/>
        <bgColor indexed="64"/>
      </patternFill>
    </fill>
    <fill>
      <patternFill patternType="solid">
        <fgColor rgb="FFFFFF99"/>
        <bgColor indexed="64"/>
      </patternFill>
    </fill>
    <fill>
      <patternFill patternType="solid">
        <fgColor rgb="FF0070C0"/>
        <bgColor indexed="64"/>
      </patternFill>
    </fill>
    <fill>
      <patternFill patternType="solid">
        <fgColor rgb="FFFFFF00"/>
        <bgColor indexed="64"/>
      </patternFill>
    </fill>
  </fills>
  <borders count="34">
    <border>
      <left/>
      <right/>
      <top/>
      <bottom/>
      <diagonal/>
    </border>
    <border>
      <left style="double">
        <color indexed="64"/>
      </left>
      <right/>
      <top/>
      <bottom/>
      <diagonal/>
    </border>
    <border>
      <left/>
      <right style="double">
        <color indexed="64"/>
      </right>
      <top/>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style="double">
        <color indexed="64"/>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double">
        <color indexed="64"/>
      </right>
      <top style="double">
        <color indexed="64"/>
      </top>
      <bottom/>
      <diagonal/>
    </border>
    <border>
      <left style="thin">
        <color indexed="64"/>
      </left>
      <right style="thin">
        <color indexed="64"/>
      </right>
      <top style="thin">
        <color indexed="64"/>
      </top>
      <bottom style="thin">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double">
        <color indexed="64"/>
      </left>
      <right style="double">
        <color indexed="64"/>
      </right>
      <top/>
      <bottom style="double">
        <color indexed="64"/>
      </bottom>
      <diagonal/>
    </border>
    <border>
      <left style="double">
        <color indexed="64"/>
      </left>
      <right style="double">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s>
  <cellStyleXfs count="1">
    <xf numFmtId="0" fontId="0" fillId="0" borderId="0">
      <alignment vertical="center"/>
    </xf>
  </cellStyleXfs>
  <cellXfs count="652">
    <xf numFmtId="0" fontId="0" fillId="0" borderId="0" xfId="0">
      <alignment vertical="center"/>
    </xf>
    <xf numFmtId="0" fontId="0" fillId="0" borderId="0" xfId="0" applyAlignment="1">
      <alignment vertical="center"/>
    </xf>
    <xf numFmtId="0" fontId="0" fillId="2" borderId="0" xfId="0" applyFill="1">
      <alignment vertical="center"/>
    </xf>
    <xf numFmtId="176" fontId="0" fillId="0" borderId="0" xfId="0" applyNumberFormat="1" applyFill="1">
      <alignment vertical="center"/>
    </xf>
    <xf numFmtId="176" fontId="0" fillId="0" borderId="0" xfId="0" applyNumberFormat="1">
      <alignment vertical="center"/>
    </xf>
    <xf numFmtId="179" fontId="0" fillId="0" borderId="0" xfId="0" applyNumberFormat="1">
      <alignment vertical="center"/>
    </xf>
    <xf numFmtId="0" fontId="0" fillId="2" borderId="0" xfId="0" applyFill="1" applyAlignment="1">
      <alignment horizontal="left" vertical="center"/>
    </xf>
    <xf numFmtId="180" fontId="0" fillId="0" borderId="0" xfId="0" applyNumberFormat="1" applyFill="1" applyAlignment="1">
      <alignment horizontal="left" vertical="center" shrinkToFit="1"/>
    </xf>
    <xf numFmtId="0" fontId="0" fillId="0" borderId="0" xfId="0" applyAlignment="1">
      <alignment vertical="center" shrinkToFit="1"/>
    </xf>
    <xf numFmtId="0" fontId="0" fillId="0" borderId="0" xfId="0" applyFill="1">
      <alignment vertical="center"/>
    </xf>
    <xf numFmtId="0" fontId="0" fillId="0" borderId="0" xfId="0" applyFill="1" applyAlignment="1">
      <alignment horizontal="left" vertical="center"/>
    </xf>
    <xf numFmtId="0" fontId="4" fillId="0" borderId="0" xfId="0" applyFont="1" applyBorder="1">
      <alignment vertical="center"/>
    </xf>
    <xf numFmtId="176" fontId="4" fillId="2" borderId="0" xfId="0" applyNumberFormat="1" applyFont="1" applyFill="1" applyBorder="1">
      <alignment vertical="center"/>
    </xf>
    <xf numFmtId="0" fontId="4" fillId="0" borderId="0" xfId="0" applyFont="1">
      <alignment vertical="center"/>
    </xf>
    <xf numFmtId="177" fontId="4" fillId="2" borderId="0" xfId="0" applyNumberFormat="1" applyFont="1" applyFill="1">
      <alignment vertical="center"/>
    </xf>
    <xf numFmtId="0" fontId="4" fillId="2" borderId="0" xfId="0" applyFont="1" applyFill="1">
      <alignment vertical="center"/>
    </xf>
    <xf numFmtId="0" fontId="4" fillId="0" borderId="0" xfId="0" applyFont="1" applyAlignment="1">
      <alignment horizontal="right" vertical="center"/>
    </xf>
    <xf numFmtId="0" fontId="6" fillId="0" borderId="0" xfId="0" applyFont="1" applyAlignment="1">
      <alignment vertical="center" shrinkToFit="1"/>
    </xf>
    <xf numFmtId="0" fontId="6" fillId="0" borderId="0" xfId="0" applyFont="1" applyBorder="1" applyAlignment="1">
      <alignment horizontal="left" vertical="center" shrinkToFit="1"/>
    </xf>
    <xf numFmtId="0" fontId="6" fillId="0" borderId="0" xfId="0" applyFont="1" applyFill="1" applyBorder="1" applyAlignment="1">
      <alignment vertical="center" shrinkToFit="1"/>
    </xf>
    <xf numFmtId="0" fontId="6" fillId="0" borderId="0" xfId="0" applyFont="1" applyFill="1" applyBorder="1" applyAlignment="1">
      <alignment horizontal="left" vertical="center" shrinkToFit="1"/>
    </xf>
    <xf numFmtId="0" fontId="6" fillId="0" borderId="0" xfId="0" applyFont="1" applyBorder="1" applyAlignment="1">
      <alignment vertical="center" shrinkToFit="1"/>
    </xf>
    <xf numFmtId="0" fontId="5" fillId="0" borderId="0" xfId="0" applyFont="1" applyAlignment="1">
      <alignment vertical="center" shrinkToFit="1"/>
    </xf>
    <xf numFmtId="0" fontId="3" fillId="0" borderId="0" xfId="0" applyFont="1" applyAlignment="1">
      <alignment vertical="center" shrinkToFit="1"/>
    </xf>
    <xf numFmtId="0" fontId="6" fillId="0" borderId="1" xfId="0" applyFont="1" applyBorder="1" applyAlignment="1">
      <alignment vertical="center" shrinkToFit="1"/>
    </xf>
    <xf numFmtId="0" fontId="6" fillId="0" borderId="2" xfId="0" applyFont="1" applyBorder="1" applyAlignment="1">
      <alignment vertical="center" shrinkToFit="1"/>
    </xf>
    <xf numFmtId="0" fontId="6" fillId="0" borderId="2" xfId="0" applyFont="1" applyFill="1" applyBorder="1" applyAlignment="1">
      <alignment vertical="center" shrinkToFit="1"/>
    </xf>
    <xf numFmtId="0" fontId="6" fillId="0" borderId="3" xfId="0" applyFont="1" applyBorder="1" applyAlignment="1">
      <alignment vertical="center" shrinkToFit="1"/>
    </xf>
    <xf numFmtId="0" fontId="6" fillId="0" borderId="4" xfId="0" applyFont="1" applyBorder="1" applyAlignment="1">
      <alignment vertical="center" shrinkToFit="1"/>
    </xf>
    <xf numFmtId="0" fontId="6" fillId="0" borderId="5" xfId="0" applyFont="1" applyBorder="1" applyAlignment="1">
      <alignment horizontal="left" vertical="center" shrinkToFit="1"/>
    </xf>
    <xf numFmtId="0" fontId="6" fillId="0" borderId="6" xfId="0" applyFont="1" applyBorder="1" applyAlignment="1">
      <alignment horizontal="left" vertical="center" shrinkToFit="1"/>
    </xf>
    <xf numFmtId="0" fontId="6" fillId="0" borderId="7" xfId="0" applyFont="1" applyBorder="1" applyAlignment="1">
      <alignment horizontal="left" vertical="center" shrinkToFit="1"/>
    </xf>
    <xf numFmtId="0" fontId="6" fillId="0" borderId="1" xfId="0" applyFont="1" applyBorder="1" applyAlignment="1">
      <alignment horizontal="left" vertical="center" shrinkToFit="1"/>
    </xf>
    <xf numFmtId="0" fontId="6" fillId="0" borderId="2" xfId="0" applyFont="1" applyBorder="1" applyAlignment="1">
      <alignment horizontal="left" vertical="center" shrinkToFit="1"/>
    </xf>
    <xf numFmtId="0" fontId="6" fillId="0" borderId="6" xfId="0" applyFont="1" applyBorder="1" applyAlignment="1">
      <alignment vertical="center" shrinkToFit="1"/>
    </xf>
    <xf numFmtId="0" fontId="6" fillId="0" borderId="7" xfId="0" applyFont="1" applyBorder="1" applyAlignment="1">
      <alignment vertical="center" shrinkToFit="1"/>
    </xf>
    <xf numFmtId="0" fontId="6" fillId="0" borderId="6" xfId="0" applyFont="1" applyFill="1" applyBorder="1" applyAlignment="1">
      <alignment vertical="center" shrinkToFit="1"/>
    </xf>
    <xf numFmtId="0" fontId="3" fillId="0" borderId="5" xfId="0" applyFont="1" applyBorder="1" applyAlignment="1">
      <alignment vertical="center" shrinkToFit="1"/>
    </xf>
    <xf numFmtId="0" fontId="3" fillId="0" borderId="6" xfId="0" applyFont="1" applyBorder="1" applyAlignment="1">
      <alignment vertical="center" shrinkToFit="1"/>
    </xf>
    <xf numFmtId="0" fontId="3" fillId="0" borderId="1" xfId="0" applyFont="1" applyBorder="1" applyAlignment="1">
      <alignment vertical="center" shrinkToFit="1"/>
    </xf>
    <xf numFmtId="0" fontId="3" fillId="0" borderId="0" xfId="0" applyFont="1" applyBorder="1" applyAlignment="1">
      <alignment vertical="center" shrinkToFit="1"/>
    </xf>
    <xf numFmtId="0" fontId="3" fillId="0" borderId="8" xfId="0" applyFont="1" applyBorder="1" applyAlignment="1">
      <alignment vertical="center" shrinkToFit="1"/>
    </xf>
    <xf numFmtId="0" fontId="3" fillId="0" borderId="3" xfId="0" applyFont="1" applyBorder="1" applyAlignment="1">
      <alignment vertical="center" shrinkToFit="1"/>
    </xf>
    <xf numFmtId="0" fontId="0" fillId="0" borderId="0" xfId="0" applyFill="1" applyBorder="1">
      <alignment vertical="center"/>
    </xf>
    <xf numFmtId="0" fontId="0" fillId="0" borderId="0" xfId="0" applyAlignment="1">
      <alignment horizontal="left" vertical="center"/>
    </xf>
    <xf numFmtId="0" fontId="0" fillId="0" borderId="0" xfId="0" applyBorder="1" applyAlignment="1">
      <alignment vertical="center"/>
    </xf>
    <xf numFmtId="0" fontId="0" fillId="0" borderId="0" xfId="0" applyBorder="1">
      <alignment vertical="center"/>
    </xf>
    <xf numFmtId="0" fontId="11" fillId="0" borderId="0" xfId="0" applyFont="1" applyFill="1" applyBorder="1" applyAlignment="1">
      <alignment vertical="center" shrinkToFit="1"/>
    </xf>
    <xf numFmtId="0" fontId="11" fillId="0" borderId="0" xfId="0" applyFont="1" applyBorder="1" applyAlignment="1">
      <alignment vertical="center"/>
    </xf>
    <xf numFmtId="0" fontId="11" fillId="0" borderId="0" xfId="0" applyFont="1" applyBorder="1">
      <alignment vertical="center"/>
    </xf>
    <xf numFmtId="0" fontId="11" fillId="0" borderId="0" xfId="0" applyFont="1" applyBorder="1" applyAlignment="1">
      <alignment vertical="center" shrinkToFit="1"/>
    </xf>
    <xf numFmtId="0" fontId="11" fillId="2" borderId="0" xfId="0" applyFont="1" applyFill="1" applyBorder="1" applyAlignment="1">
      <alignment vertical="center" shrinkToFit="1"/>
    </xf>
    <xf numFmtId="0" fontId="0" fillId="0" borderId="5" xfId="0" applyFill="1" applyBorder="1">
      <alignment vertical="center"/>
    </xf>
    <xf numFmtId="0" fontId="0" fillId="0" borderId="6" xfId="0" applyFill="1" applyBorder="1">
      <alignment vertical="center"/>
    </xf>
    <xf numFmtId="0" fontId="0" fillId="0" borderId="7" xfId="0" applyFill="1" applyBorder="1">
      <alignment vertical="center"/>
    </xf>
    <xf numFmtId="0" fontId="0" fillId="0" borderId="1" xfId="0" applyFill="1" applyBorder="1">
      <alignment vertical="center"/>
    </xf>
    <xf numFmtId="0" fontId="0" fillId="0" borderId="2" xfId="0" applyFill="1" applyBorder="1">
      <alignment vertical="center"/>
    </xf>
    <xf numFmtId="0" fontId="0" fillId="0" borderId="8" xfId="0" applyFill="1" applyBorder="1">
      <alignment vertical="center"/>
    </xf>
    <xf numFmtId="0" fontId="0" fillId="0" borderId="3" xfId="0" applyFill="1" applyBorder="1">
      <alignment vertical="center"/>
    </xf>
    <xf numFmtId="0" fontId="0" fillId="0" borderId="4" xfId="0" applyFill="1" applyBorder="1">
      <alignment vertical="center"/>
    </xf>
    <xf numFmtId="0" fontId="4" fillId="0" borderId="0" xfId="0" applyFont="1" applyFill="1" applyAlignment="1">
      <alignment vertical="center" shrinkToFit="1"/>
    </xf>
    <xf numFmtId="0" fontId="0" fillId="0" borderId="0" xfId="0" applyBorder="1" applyAlignment="1">
      <alignment horizontal="center" vertical="center" textRotation="255"/>
    </xf>
    <xf numFmtId="0" fontId="4" fillId="0" borderId="0" xfId="0" applyFont="1" applyBorder="1" applyAlignment="1">
      <alignment vertical="center"/>
    </xf>
    <xf numFmtId="0" fontId="0" fillId="2" borderId="0" xfId="0" applyFill="1" applyAlignment="1">
      <alignment horizontal="left" vertical="center" wrapText="1"/>
    </xf>
    <xf numFmtId="0" fontId="14" fillId="0" borderId="5" xfId="0" applyFont="1" applyFill="1" applyBorder="1">
      <alignment vertical="center"/>
    </xf>
    <xf numFmtId="0" fontId="14" fillId="0" borderId="6" xfId="0" applyFont="1" applyFill="1" applyBorder="1">
      <alignment vertical="center"/>
    </xf>
    <xf numFmtId="0" fontId="14" fillId="0" borderId="7" xfId="0" applyFont="1" applyFill="1" applyBorder="1">
      <alignment vertical="center"/>
    </xf>
    <xf numFmtId="0" fontId="14" fillId="0" borderId="0" xfId="0" applyFont="1" applyFill="1" applyBorder="1">
      <alignment vertical="center"/>
    </xf>
    <xf numFmtId="0" fontId="14" fillId="0" borderId="1" xfId="0" applyFont="1" applyFill="1" applyBorder="1">
      <alignment vertical="center"/>
    </xf>
    <xf numFmtId="0" fontId="14" fillId="0" borderId="2" xfId="0" applyFont="1" applyFill="1" applyBorder="1">
      <alignment vertical="center"/>
    </xf>
    <xf numFmtId="0" fontId="14" fillId="0" borderId="0" xfId="0" applyFont="1" applyFill="1" applyBorder="1" applyAlignment="1">
      <alignment horizontal="left" vertical="center"/>
    </xf>
    <xf numFmtId="0" fontId="14" fillId="0" borderId="0" xfId="0" applyFont="1" applyFill="1" applyBorder="1" applyAlignment="1">
      <alignment vertical="center"/>
    </xf>
    <xf numFmtId="0" fontId="14" fillId="0" borderId="0" xfId="0" applyFont="1" applyFill="1" applyBorder="1" applyAlignment="1">
      <alignment horizontal="center" vertical="center"/>
    </xf>
    <xf numFmtId="0" fontId="7" fillId="0" borderId="0" xfId="0" applyFont="1" applyFill="1" applyBorder="1" applyAlignment="1">
      <alignment vertical="center"/>
    </xf>
    <xf numFmtId="0" fontId="14" fillId="0" borderId="9" xfId="0" applyFont="1" applyFill="1" applyBorder="1" applyAlignment="1">
      <alignment vertical="center"/>
    </xf>
    <xf numFmtId="0" fontId="14" fillId="0" borderId="9" xfId="0" applyFont="1" applyFill="1" applyBorder="1">
      <alignment vertical="center"/>
    </xf>
    <xf numFmtId="0" fontId="7" fillId="0" borderId="9" xfId="0" applyFont="1" applyFill="1" applyBorder="1" applyAlignment="1">
      <alignment vertical="center"/>
    </xf>
    <xf numFmtId="0" fontId="14" fillId="0" borderId="8" xfId="0" applyFont="1" applyFill="1" applyBorder="1">
      <alignment vertical="center"/>
    </xf>
    <xf numFmtId="0" fontId="14" fillId="0" borderId="3" xfId="0" applyFont="1" applyFill="1" applyBorder="1">
      <alignment vertical="center"/>
    </xf>
    <xf numFmtId="0" fontId="14" fillId="0" borderId="4" xfId="0" applyFont="1" applyFill="1" applyBorder="1">
      <alignment vertical="center"/>
    </xf>
    <xf numFmtId="0" fontId="14" fillId="0" borderId="6" xfId="0" applyFont="1" applyFill="1" applyBorder="1" applyAlignment="1">
      <alignment horizontal="center" vertical="center"/>
    </xf>
    <xf numFmtId="0" fontId="14" fillId="0" borderId="3" xfId="0" applyFont="1" applyFill="1" applyBorder="1" applyAlignment="1">
      <alignment horizontal="center" vertical="center"/>
    </xf>
    <xf numFmtId="0" fontId="17" fillId="0" borderId="0" xfId="0" applyFont="1" applyFill="1" applyBorder="1" applyAlignment="1">
      <alignment vertical="center"/>
    </xf>
    <xf numFmtId="0" fontId="14" fillId="0" borderId="0" xfId="0" applyFont="1" applyFill="1" applyBorder="1" applyAlignment="1">
      <alignment horizontal="right" vertical="center"/>
    </xf>
    <xf numFmtId="0" fontId="15" fillId="0" borderId="0" xfId="0" applyFont="1" applyFill="1" applyBorder="1" applyAlignment="1">
      <alignment vertical="center"/>
    </xf>
    <xf numFmtId="0" fontId="15" fillId="0" borderId="0" xfId="0" applyFont="1" applyFill="1" applyBorder="1" applyAlignment="1">
      <alignment horizontal="center" vertical="center"/>
    </xf>
    <xf numFmtId="0" fontId="14" fillId="0" borderId="0" xfId="0" applyFont="1" applyFill="1" applyBorder="1" applyAlignment="1">
      <alignment vertical="center" shrinkToFit="1"/>
    </xf>
    <xf numFmtId="0" fontId="14" fillId="0" borderId="2" xfId="0" applyFont="1" applyFill="1" applyBorder="1" applyAlignment="1">
      <alignment vertical="center"/>
    </xf>
    <xf numFmtId="0" fontId="14" fillId="0" borderId="2" xfId="0" applyFont="1" applyFill="1" applyBorder="1" applyAlignment="1">
      <alignment horizontal="left" vertical="center"/>
    </xf>
    <xf numFmtId="0" fontId="15" fillId="0" borderId="6" xfId="0" applyFont="1" applyFill="1" applyBorder="1" applyAlignment="1">
      <alignment horizontal="center" vertical="center" textRotation="255"/>
    </xf>
    <xf numFmtId="0" fontId="15" fillId="0" borderId="3" xfId="0" applyFont="1" applyFill="1" applyBorder="1" applyAlignment="1">
      <alignment horizontal="center" vertical="center" textRotation="255"/>
    </xf>
    <xf numFmtId="0" fontId="20" fillId="0" borderId="0" xfId="0" applyFont="1" applyFill="1" applyBorder="1">
      <alignment vertical="center"/>
    </xf>
    <xf numFmtId="0" fontId="19" fillId="0" borderId="0" xfId="0" applyFont="1" applyFill="1" applyBorder="1" applyAlignment="1">
      <alignment vertical="center" shrinkToFit="1"/>
    </xf>
    <xf numFmtId="9" fontId="4" fillId="0" borderId="0" xfId="0" applyNumberFormat="1" applyFont="1" applyFill="1">
      <alignment vertical="center"/>
    </xf>
    <xf numFmtId="0" fontId="21" fillId="0" borderId="0" xfId="0" applyFont="1" applyBorder="1">
      <alignment vertical="center"/>
    </xf>
    <xf numFmtId="0" fontId="27" fillId="0" borderId="1" xfId="0" applyFont="1" applyFill="1" applyBorder="1" applyAlignment="1">
      <alignment vertical="center"/>
    </xf>
    <xf numFmtId="0" fontId="27" fillId="0" borderId="0" xfId="0" applyFont="1" applyFill="1" applyBorder="1" applyAlignment="1">
      <alignment vertical="center"/>
    </xf>
    <xf numFmtId="0" fontId="27" fillId="0" borderId="2" xfId="0" applyFont="1" applyFill="1" applyBorder="1" applyAlignment="1">
      <alignment vertical="center"/>
    </xf>
    <xf numFmtId="0" fontId="26" fillId="0" borderId="1" xfId="0" applyFont="1" applyFill="1" applyBorder="1" applyAlignment="1">
      <alignment vertical="center"/>
    </xf>
    <xf numFmtId="0" fontId="26" fillId="0" borderId="0" xfId="0" applyFont="1" applyFill="1" applyBorder="1" applyAlignment="1">
      <alignment vertical="center"/>
    </xf>
    <xf numFmtId="0" fontId="26" fillId="0" borderId="2" xfId="0" applyFont="1" applyFill="1" applyBorder="1" applyAlignment="1">
      <alignment vertical="center"/>
    </xf>
    <xf numFmtId="0" fontId="0" fillId="0" borderId="8" xfId="0" applyBorder="1">
      <alignment vertical="center"/>
    </xf>
    <xf numFmtId="0" fontId="12" fillId="0" borderId="1" xfId="0" applyFont="1" applyFill="1" applyBorder="1" applyAlignment="1">
      <alignment vertical="center"/>
    </xf>
    <xf numFmtId="0" fontId="12" fillId="0" borderId="0" xfId="0" applyFont="1" applyFill="1" applyBorder="1" applyAlignment="1">
      <alignment vertical="center"/>
    </xf>
    <xf numFmtId="0" fontId="12" fillId="0" borderId="2" xfId="0" applyFont="1" applyFill="1" applyBorder="1" applyAlignment="1">
      <alignment vertical="center"/>
    </xf>
    <xf numFmtId="0" fontId="12" fillId="0" borderId="8" xfId="0" applyFont="1" applyFill="1" applyBorder="1" applyAlignment="1">
      <alignment vertical="center"/>
    </xf>
    <xf numFmtId="0" fontId="12" fillId="0" borderId="3" xfId="0" applyFont="1" applyFill="1" applyBorder="1" applyAlignment="1">
      <alignment vertical="center"/>
    </xf>
    <xf numFmtId="0" fontId="12" fillId="0" borderId="4" xfId="0" applyFont="1" applyFill="1" applyBorder="1" applyAlignment="1">
      <alignment vertical="center"/>
    </xf>
    <xf numFmtId="0" fontId="0" fillId="0" borderId="1" xfId="0" applyBorder="1" applyAlignment="1">
      <alignment horizontal="right" vertical="center"/>
    </xf>
    <xf numFmtId="0" fontId="0" fillId="0" borderId="2" xfId="0" applyBorder="1" applyAlignment="1">
      <alignment vertical="center"/>
    </xf>
    <xf numFmtId="0" fontId="0" fillId="0" borderId="1" xfId="0" applyBorder="1">
      <alignment vertical="center"/>
    </xf>
    <xf numFmtId="0" fontId="0" fillId="0" borderId="0" xfId="0" applyBorder="1" applyAlignment="1">
      <alignment vertical="center" wrapText="1"/>
    </xf>
    <xf numFmtId="0" fontId="0" fillId="0" borderId="3" xfId="0" applyBorder="1" applyAlignment="1">
      <alignment vertical="center"/>
    </xf>
    <xf numFmtId="0" fontId="0" fillId="0" borderId="4" xfId="0" applyBorder="1" applyAlignment="1">
      <alignment vertical="center"/>
    </xf>
    <xf numFmtId="0" fontId="0" fillId="0" borderId="0" xfId="0" applyBorder="1" applyAlignment="1">
      <alignment horizontal="center" vertical="top"/>
    </xf>
    <xf numFmtId="0" fontId="0" fillId="0" borderId="0" xfId="0" applyBorder="1" applyAlignment="1">
      <alignment vertical="top" wrapText="1"/>
    </xf>
    <xf numFmtId="0" fontId="0" fillId="0" borderId="1" xfId="0" applyBorder="1" applyAlignment="1">
      <alignment horizontal="center" vertical="top"/>
    </xf>
    <xf numFmtId="0" fontId="0" fillId="0" borderId="2" xfId="0" applyBorder="1" applyAlignment="1">
      <alignment vertical="top" wrapText="1"/>
    </xf>
    <xf numFmtId="0" fontId="0" fillId="0" borderId="8" xfId="0" applyBorder="1" applyAlignment="1">
      <alignment horizontal="center" vertical="top"/>
    </xf>
    <xf numFmtId="0" fontId="0" fillId="0" borderId="4" xfId="0" applyBorder="1" applyAlignment="1">
      <alignment vertical="top" wrapText="1"/>
    </xf>
    <xf numFmtId="9" fontId="4" fillId="2" borderId="0" xfId="0" applyNumberFormat="1" applyFont="1" applyFill="1">
      <alignment vertical="center"/>
    </xf>
    <xf numFmtId="0" fontId="24" fillId="0" borderId="0" xfId="0" applyFont="1" applyBorder="1" applyAlignment="1">
      <alignment vertical="center" textRotation="255"/>
    </xf>
    <xf numFmtId="0" fontId="36" fillId="0" borderId="0" xfId="0" applyFont="1" applyBorder="1" applyAlignment="1">
      <alignment vertical="center" shrinkToFit="1"/>
    </xf>
    <xf numFmtId="0" fontId="34" fillId="0" borderId="0" xfId="0" applyFont="1" applyBorder="1" applyAlignment="1"/>
    <xf numFmtId="177" fontId="36" fillId="0" borderId="0" xfId="0" applyNumberFormat="1" applyFont="1" applyBorder="1" applyAlignment="1">
      <alignment vertical="center" shrinkToFit="1"/>
    </xf>
    <xf numFmtId="0" fontId="35" fillId="0" borderId="0" xfId="0" applyFont="1" applyBorder="1" applyAlignment="1">
      <alignment vertical="center" shrinkToFit="1"/>
    </xf>
    <xf numFmtId="0" fontId="37" fillId="0" borderId="0" xfId="0" applyFont="1" applyBorder="1" applyAlignment="1">
      <alignment vertical="center" shrinkToFit="1"/>
    </xf>
    <xf numFmtId="14" fontId="0" fillId="2" borderId="0" xfId="0" quotePrefix="1" applyNumberFormat="1" applyFill="1" applyAlignment="1">
      <alignment horizontal="left" vertical="center" shrinkToFit="1"/>
    </xf>
    <xf numFmtId="0" fontId="0" fillId="2" borderId="0" xfId="0" quotePrefix="1" applyFill="1" applyAlignment="1">
      <alignment horizontal="left" vertical="center"/>
    </xf>
    <xf numFmtId="0" fontId="58" fillId="4" borderId="10" xfId="0" applyFont="1" applyFill="1" applyBorder="1" applyAlignment="1">
      <alignment vertical="center" shrinkToFit="1"/>
    </xf>
    <xf numFmtId="0" fontId="58" fillId="4" borderId="11" xfId="0" applyFont="1" applyFill="1" applyBorder="1" applyAlignment="1">
      <alignment vertical="center" shrinkToFit="1"/>
    </xf>
    <xf numFmtId="0" fontId="59" fillId="4" borderId="11" xfId="0" applyFont="1" applyFill="1" applyBorder="1" applyAlignment="1">
      <alignment vertical="center" shrinkToFit="1"/>
    </xf>
    <xf numFmtId="0" fontId="21" fillId="4" borderId="0" xfId="0" applyFont="1" applyFill="1" applyBorder="1">
      <alignment vertical="center"/>
    </xf>
    <xf numFmtId="0" fontId="60" fillId="4" borderId="10" xfId="0" applyFont="1" applyFill="1" applyBorder="1" applyAlignment="1">
      <alignment vertical="center"/>
    </xf>
    <xf numFmtId="0" fontId="60" fillId="4" borderId="11" xfId="0" applyFont="1" applyFill="1" applyBorder="1" applyAlignment="1">
      <alignment vertical="center"/>
    </xf>
    <xf numFmtId="0" fontId="61" fillId="0" borderId="0" xfId="0" applyFont="1">
      <alignment vertical="center"/>
    </xf>
    <xf numFmtId="0" fontId="0" fillId="5" borderId="0" xfId="0" applyFont="1" applyFill="1">
      <alignment vertical="center"/>
    </xf>
    <xf numFmtId="0" fontId="14" fillId="0" borderId="2" xfId="0" applyFont="1" applyFill="1" applyBorder="1" applyAlignment="1">
      <alignment vertical="center" shrinkToFit="1"/>
    </xf>
    <xf numFmtId="182" fontId="0" fillId="2" borderId="0" xfId="0" applyNumberFormat="1" applyFill="1">
      <alignment vertical="center"/>
    </xf>
    <xf numFmtId="182" fontId="0" fillId="0" borderId="0" xfId="0" applyNumberFormat="1" applyFill="1">
      <alignment vertical="center"/>
    </xf>
    <xf numFmtId="182" fontId="0" fillId="0" borderId="0" xfId="0" applyNumberFormat="1">
      <alignment vertical="center"/>
    </xf>
    <xf numFmtId="182" fontId="1" fillId="0" borderId="0" xfId="0" applyNumberFormat="1" applyFont="1">
      <alignment vertical="center"/>
    </xf>
    <xf numFmtId="188" fontId="4" fillId="2" borderId="0" xfId="0" applyNumberFormat="1" applyFont="1" applyFill="1">
      <alignment vertical="center"/>
    </xf>
    <xf numFmtId="188" fontId="4" fillId="0" borderId="0" xfId="0" applyNumberFormat="1" applyFont="1" applyBorder="1" applyAlignment="1">
      <alignment vertical="center"/>
    </xf>
    <xf numFmtId="182" fontId="4" fillId="0" borderId="0" xfId="0" applyNumberFormat="1" applyFont="1">
      <alignment vertical="center"/>
    </xf>
    <xf numFmtId="182" fontId="4" fillId="0" borderId="0" xfId="0" applyNumberFormat="1" applyFont="1" applyBorder="1" applyAlignment="1">
      <alignment vertical="center"/>
    </xf>
    <xf numFmtId="188" fontId="4" fillId="0" borderId="0" xfId="0" applyNumberFormat="1" applyFont="1">
      <alignment vertical="center"/>
    </xf>
    <xf numFmtId="188" fontId="4" fillId="0" borderId="0" xfId="0" applyNumberFormat="1" applyFont="1" applyFill="1" applyBorder="1">
      <alignment vertical="center"/>
    </xf>
    <xf numFmtId="188" fontId="4" fillId="0" borderId="0" xfId="0" applyNumberFormat="1" applyFont="1" applyFill="1">
      <alignment vertical="center"/>
    </xf>
    <xf numFmtId="0" fontId="62" fillId="0" borderId="0" xfId="0" applyFont="1" applyFill="1" applyBorder="1" applyAlignment="1">
      <alignment vertical="center"/>
    </xf>
    <xf numFmtId="0" fontId="50" fillId="3" borderId="0" xfId="0" applyFont="1" applyFill="1">
      <alignment vertical="center"/>
    </xf>
    <xf numFmtId="0" fontId="0" fillId="5" borderId="0" xfId="0" applyFill="1" applyAlignment="1">
      <alignment horizontal="left" vertical="center"/>
    </xf>
    <xf numFmtId="0" fontId="61" fillId="0" borderId="0" xfId="0" applyFont="1" applyFill="1" applyAlignment="1">
      <alignment horizontal="left" vertical="center"/>
    </xf>
    <xf numFmtId="0" fontId="61" fillId="0" borderId="0" xfId="0" applyFont="1" applyFill="1">
      <alignment vertical="center"/>
    </xf>
    <xf numFmtId="0" fontId="32" fillId="0" borderId="0" xfId="0" applyFont="1" applyBorder="1" applyAlignment="1">
      <alignment horizontal="left" vertical="center" shrinkToFit="1"/>
    </xf>
    <xf numFmtId="0" fontId="58" fillId="4" borderId="12" xfId="0" applyFont="1" applyFill="1" applyBorder="1" applyAlignment="1">
      <alignment vertical="center" shrinkToFit="1"/>
    </xf>
    <xf numFmtId="0" fontId="58" fillId="4" borderId="0" xfId="0" applyFont="1" applyFill="1" applyBorder="1" applyAlignment="1">
      <alignment vertical="center" shrinkToFit="1"/>
    </xf>
    <xf numFmtId="0" fontId="59" fillId="4" borderId="0" xfId="0" applyFont="1" applyFill="1" applyBorder="1" applyAlignment="1">
      <alignment vertical="center" shrinkToFit="1"/>
    </xf>
    <xf numFmtId="0" fontId="39" fillId="4" borderId="11" xfId="0" applyFont="1" applyFill="1" applyBorder="1" applyAlignment="1">
      <alignment vertical="center" shrinkToFit="1"/>
    </xf>
    <xf numFmtId="0" fontId="39" fillId="4" borderId="0" xfId="0" applyFont="1" applyFill="1" applyBorder="1" applyAlignment="1">
      <alignment vertical="center" shrinkToFit="1"/>
    </xf>
    <xf numFmtId="0" fontId="12" fillId="0" borderId="0" xfId="0" applyFont="1" applyFill="1" applyBorder="1" applyAlignment="1">
      <alignment horizontal="left" vertical="center"/>
    </xf>
    <xf numFmtId="0" fontId="1" fillId="0" borderId="0" xfId="0" applyFont="1" applyAlignment="1">
      <alignment horizontal="center" vertical="center" textRotation="255"/>
    </xf>
    <xf numFmtId="182" fontId="6" fillId="0" borderId="0" xfId="0" applyNumberFormat="1" applyFont="1" applyBorder="1" applyAlignment="1">
      <alignment vertical="center" shrinkToFit="1"/>
    </xf>
    <xf numFmtId="0" fontId="12" fillId="0" borderId="5" xfId="0" applyFont="1" applyFill="1" applyBorder="1">
      <alignment vertical="center"/>
    </xf>
    <xf numFmtId="0" fontId="12" fillId="0" borderId="6" xfId="0" applyFont="1" applyFill="1" applyBorder="1">
      <alignment vertical="center"/>
    </xf>
    <xf numFmtId="0" fontId="12" fillId="0" borderId="7" xfId="0" applyFont="1" applyFill="1" applyBorder="1">
      <alignment vertical="center"/>
    </xf>
    <xf numFmtId="0" fontId="12" fillId="0" borderId="1" xfId="0" applyFont="1" applyFill="1" applyBorder="1">
      <alignment vertical="center"/>
    </xf>
    <xf numFmtId="0" fontId="12" fillId="0" borderId="0" xfId="0" applyFont="1" applyFill="1" applyBorder="1">
      <alignment vertical="center"/>
    </xf>
    <xf numFmtId="0" fontId="12" fillId="0" borderId="2" xfId="0" applyFont="1" applyFill="1" applyBorder="1">
      <alignment vertical="center"/>
    </xf>
    <xf numFmtId="0" fontId="12" fillId="0" borderId="1" xfId="0" applyFont="1" applyFill="1" applyBorder="1" applyAlignment="1">
      <alignment horizontal="left" vertical="center"/>
    </xf>
    <xf numFmtId="0" fontId="1" fillId="0" borderId="0" xfId="0" applyFont="1" applyAlignment="1">
      <alignment vertical="center" textRotation="255"/>
    </xf>
    <xf numFmtId="0" fontId="4" fillId="0" borderId="0" xfId="0" applyFont="1" applyFill="1">
      <alignment vertical="center"/>
    </xf>
    <xf numFmtId="0" fontId="1" fillId="0" borderId="0" xfId="0" applyFont="1" applyAlignment="1">
      <alignment horizontal="left" vertical="top" textRotation="92"/>
    </xf>
    <xf numFmtId="0" fontId="27" fillId="0" borderId="1" xfId="0" applyFont="1" applyFill="1" applyBorder="1" applyAlignment="1">
      <alignment horizontal="right" vertical="center"/>
    </xf>
    <xf numFmtId="0" fontId="27" fillId="0" borderId="0" xfId="0" applyFont="1" applyFill="1" applyBorder="1" applyAlignment="1">
      <alignment horizontal="right" vertical="center"/>
    </xf>
    <xf numFmtId="0" fontId="28" fillId="0" borderId="0" xfId="0" applyFont="1" applyFill="1" applyBorder="1" applyAlignment="1">
      <alignment horizontal="center" vertical="center" shrinkToFit="1"/>
    </xf>
    <xf numFmtId="0" fontId="28" fillId="0" borderId="2" xfId="0" applyFont="1" applyFill="1" applyBorder="1" applyAlignment="1">
      <alignment horizontal="center" vertical="center" shrinkToFit="1"/>
    </xf>
    <xf numFmtId="0" fontId="27" fillId="0" borderId="1" xfId="0" applyFont="1" applyFill="1" applyBorder="1" applyAlignment="1">
      <alignment horizontal="center" vertical="center"/>
    </xf>
    <xf numFmtId="0" fontId="27" fillId="0" borderId="0" xfId="0" applyFont="1" applyFill="1" applyBorder="1" applyAlignment="1">
      <alignment horizontal="center" vertical="center"/>
    </xf>
    <xf numFmtId="0" fontId="27" fillId="0" borderId="2" xfId="0" applyFont="1" applyFill="1" applyBorder="1" applyAlignment="1">
      <alignment horizontal="center" vertical="center"/>
    </xf>
    <xf numFmtId="0" fontId="29" fillId="0" borderId="1" xfId="0" applyFont="1" applyFill="1" applyBorder="1" applyAlignment="1">
      <alignment horizontal="center" vertical="center" shrinkToFit="1"/>
    </xf>
    <xf numFmtId="0" fontId="29" fillId="0" borderId="0" xfId="0" applyFont="1" applyFill="1" applyBorder="1" applyAlignment="1">
      <alignment horizontal="center" vertical="center" shrinkToFit="1"/>
    </xf>
    <xf numFmtId="0" fontId="29" fillId="0" borderId="2" xfId="0" applyFont="1" applyFill="1" applyBorder="1" applyAlignment="1">
      <alignment horizontal="center" vertical="center" shrinkToFit="1"/>
    </xf>
    <xf numFmtId="0" fontId="6" fillId="0" borderId="13" xfId="0" applyFont="1" applyBorder="1" applyAlignment="1">
      <alignment horizontal="center" vertical="center" shrinkToFit="1"/>
    </xf>
    <xf numFmtId="182" fontId="6" fillId="0" borderId="13" xfId="0" applyNumberFormat="1" applyFont="1" applyBorder="1" applyAlignment="1">
      <alignment horizontal="center" vertical="center" shrinkToFit="1"/>
    </xf>
    <xf numFmtId="0" fontId="6" fillId="0" borderId="5" xfId="0" applyFont="1" applyFill="1" applyBorder="1" applyAlignment="1">
      <alignment horizontal="center" vertical="center" shrinkToFit="1"/>
    </xf>
    <xf numFmtId="0" fontId="6" fillId="0" borderId="6" xfId="0" applyFont="1" applyFill="1" applyBorder="1" applyAlignment="1">
      <alignment horizontal="center" vertical="center" shrinkToFit="1"/>
    </xf>
    <xf numFmtId="0" fontId="6" fillId="0" borderId="8" xfId="0" applyFont="1" applyFill="1" applyBorder="1" applyAlignment="1">
      <alignment horizontal="center" vertical="center" shrinkToFit="1"/>
    </xf>
    <xf numFmtId="0" fontId="6" fillId="0" borderId="3" xfId="0" applyFont="1" applyFill="1" applyBorder="1" applyAlignment="1">
      <alignment horizontal="center" vertical="center" shrinkToFit="1"/>
    </xf>
    <xf numFmtId="180" fontId="14" fillId="0" borderId="5" xfId="0" applyNumberFormat="1" applyFont="1" applyBorder="1" applyAlignment="1">
      <alignment horizontal="left" vertical="center" shrinkToFit="1"/>
    </xf>
    <xf numFmtId="180" fontId="14" fillId="0" borderId="6" xfId="0" applyNumberFormat="1" applyFont="1" applyBorder="1" applyAlignment="1">
      <alignment horizontal="left" vertical="center" shrinkToFit="1"/>
    </xf>
    <xf numFmtId="180" fontId="14" fillId="0" borderId="7" xfId="0" applyNumberFormat="1" applyFont="1" applyBorder="1" applyAlignment="1">
      <alignment horizontal="left" vertical="center" shrinkToFit="1"/>
    </xf>
    <xf numFmtId="180" fontId="14" fillId="0" borderId="8" xfId="0" applyNumberFormat="1" applyFont="1" applyBorder="1" applyAlignment="1">
      <alignment horizontal="left" vertical="center" shrinkToFit="1"/>
    </xf>
    <xf numFmtId="180" fontId="14" fillId="0" borderId="3" xfId="0" applyNumberFormat="1" applyFont="1" applyBorder="1" applyAlignment="1">
      <alignment horizontal="left" vertical="center" shrinkToFit="1"/>
    </xf>
    <xf numFmtId="180" fontId="14" fillId="0" borderId="4" xfId="0" applyNumberFormat="1" applyFont="1" applyBorder="1" applyAlignment="1">
      <alignment horizontal="left" vertical="center" shrinkToFit="1"/>
    </xf>
    <xf numFmtId="0" fontId="6" fillId="0" borderId="14" xfId="0" applyFont="1" applyBorder="1" applyAlignment="1">
      <alignment horizontal="left" vertical="center" shrinkToFit="1"/>
    </xf>
    <xf numFmtId="0" fontId="6" fillId="0" borderId="15" xfId="0" applyFont="1" applyBorder="1" applyAlignment="1">
      <alignment horizontal="left" vertical="center" shrinkToFit="1"/>
    </xf>
    <xf numFmtId="0" fontId="6" fillId="0" borderId="15" xfId="0" applyFont="1" applyBorder="1" applyAlignment="1">
      <alignment horizontal="center" vertical="center" shrinkToFit="1"/>
    </xf>
    <xf numFmtId="0" fontId="6" fillId="0" borderId="16" xfId="0" applyFont="1" applyBorder="1" applyAlignment="1">
      <alignment horizontal="center" vertical="center" shrinkToFit="1"/>
    </xf>
    <xf numFmtId="179" fontId="6" fillId="0" borderId="15" xfId="0" applyNumberFormat="1" applyFont="1" applyBorder="1" applyAlignment="1">
      <alignment horizontal="center" vertical="center" shrinkToFit="1"/>
    </xf>
    <xf numFmtId="0" fontId="6" fillId="0" borderId="15" xfId="0" applyFont="1" applyFill="1" applyBorder="1" applyAlignment="1">
      <alignment horizontal="center" vertical="center" shrinkToFit="1"/>
    </xf>
    <xf numFmtId="0" fontId="6" fillId="0" borderId="16" xfId="0" applyFont="1" applyFill="1" applyBorder="1" applyAlignment="1">
      <alignment horizontal="center" vertical="center" shrinkToFit="1"/>
    </xf>
    <xf numFmtId="182" fontId="7" fillId="0" borderId="14" xfId="0" applyNumberFormat="1" applyFont="1" applyBorder="1" applyAlignment="1">
      <alignment horizontal="right" vertical="center" shrinkToFit="1"/>
    </xf>
    <xf numFmtId="182" fontId="7" fillId="0" borderId="15" xfId="0" applyNumberFormat="1" applyFont="1" applyBorder="1" applyAlignment="1">
      <alignment horizontal="right" vertical="center" shrinkToFit="1"/>
    </xf>
    <xf numFmtId="0" fontId="12" fillId="0" borderId="13" xfId="0" applyFont="1" applyBorder="1" applyAlignment="1">
      <alignment horizontal="center" vertical="center" shrinkToFit="1"/>
    </xf>
    <xf numFmtId="0" fontId="6" fillId="0" borderId="14" xfId="0" applyFont="1" applyFill="1" applyBorder="1" applyAlignment="1">
      <alignment horizontal="center" vertical="center" shrinkToFit="1"/>
    </xf>
    <xf numFmtId="0" fontId="6" fillId="0" borderId="14" xfId="0" applyFont="1" applyFill="1" applyBorder="1" applyAlignment="1">
      <alignment horizontal="left" vertical="center" shrinkToFit="1"/>
    </xf>
    <xf numFmtId="0" fontId="0" fillId="0" borderId="15" xfId="0" applyBorder="1" applyAlignment="1">
      <alignment vertical="center" shrinkToFit="1"/>
    </xf>
    <xf numFmtId="0" fontId="0" fillId="0" borderId="14" xfId="0" applyBorder="1" applyAlignment="1">
      <alignment vertical="center" shrinkToFit="1"/>
    </xf>
    <xf numFmtId="0" fontId="6" fillId="0" borderId="5" xfId="0" applyFont="1" applyFill="1" applyBorder="1" applyAlignment="1">
      <alignment horizontal="left" vertical="center" shrinkToFit="1"/>
    </xf>
    <xf numFmtId="0" fontId="6" fillId="0" borderId="6" xfId="0" applyFont="1" applyFill="1" applyBorder="1" applyAlignment="1">
      <alignment horizontal="left" vertical="center" shrinkToFit="1"/>
    </xf>
    <xf numFmtId="0" fontId="6" fillId="0" borderId="8" xfId="0" applyFont="1" applyFill="1" applyBorder="1" applyAlignment="1">
      <alignment horizontal="left" vertical="center" shrinkToFit="1"/>
    </xf>
    <xf numFmtId="0" fontId="6" fillId="0" borderId="3" xfId="0" applyFont="1" applyFill="1" applyBorder="1" applyAlignment="1">
      <alignment horizontal="left" vertical="center" shrinkToFit="1"/>
    </xf>
    <xf numFmtId="0" fontId="0" fillId="0" borderId="16" xfId="0" applyBorder="1" applyAlignment="1">
      <alignment vertical="center" shrinkToFit="1"/>
    </xf>
    <xf numFmtId="0" fontId="6" fillId="0" borderId="6" xfId="0" applyFont="1" applyBorder="1" applyAlignment="1">
      <alignment horizontal="right" vertical="center" shrinkToFit="1"/>
    </xf>
    <xf numFmtId="0" fontId="6" fillId="0" borderId="3" xfId="0" applyFont="1" applyBorder="1" applyAlignment="1">
      <alignment horizontal="right" vertical="center" shrinkToFit="1"/>
    </xf>
    <xf numFmtId="0" fontId="5" fillId="0" borderId="5" xfId="0" applyFont="1" applyBorder="1" applyAlignment="1">
      <alignment horizontal="center" vertical="center" textRotation="255" shrinkToFit="1"/>
    </xf>
    <xf numFmtId="0" fontId="5" fillId="0" borderId="6" xfId="0" applyFont="1" applyBorder="1" applyAlignment="1">
      <alignment horizontal="center" vertical="center" textRotation="255" shrinkToFit="1"/>
    </xf>
    <xf numFmtId="0" fontId="5" fillId="0" borderId="7" xfId="0" applyFont="1" applyBorder="1" applyAlignment="1">
      <alignment horizontal="center" vertical="center" textRotation="255" shrinkToFit="1"/>
    </xf>
    <xf numFmtId="0" fontId="5" fillId="0" borderId="1" xfId="0" applyFont="1" applyBorder="1" applyAlignment="1">
      <alignment horizontal="center" vertical="center" textRotation="255" shrinkToFit="1"/>
    </xf>
    <xf numFmtId="0" fontId="5" fillId="0" borderId="0" xfId="0" applyFont="1" applyBorder="1" applyAlignment="1">
      <alignment horizontal="center" vertical="center" textRotation="255" shrinkToFit="1"/>
    </xf>
    <xf numFmtId="0" fontId="5" fillId="0" borderId="2" xfId="0" applyFont="1" applyBorder="1" applyAlignment="1">
      <alignment horizontal="center" vertical="center" textRotation="255" shrinkToFit="1"/>
    </xf>
    <xf numFmtId="0" fontId="5" fillId="0" borderId="8" xfId="0" applyFont="1" applyBorder="1" applyAlignment="1">
      <alignment horizontal="center" vertical="center" textRotation="255" shrinkToFit="1"/>
    </xf>
    <xf numFmtId="0" fontId="5" fillId="0" borderId="3" xfId="0" applyFont="1" applyBorder="1" applyAlignment="1">
      <alignment horizontal="center" vertical="center" textRotation="255" shrinkToFit="1"/>
    </xf>
    <xf numFmtId="0" fontId="5" fillId="0" borderId="4" xfId="0" applyFont="1" applyBorder="1" applyAlignment="1">
      <alignment horizontal="center" vertical="center" textRotation="255" shrinkToFit="1"/>
    </xf>
    <xf numFmtId="0" fontId="5" fillId="0" borderId="13" xfId="0" applyFont="1" applyBorder="1" applyAlignment="1">
      <alignment horizontal="center" vertical="center" textRotation="255" shrinkToFit="1"/>
    </xf>
    <xf numFmtId="0" fontId="5" fillId="0" borderId="17" xfId="0" applyFont="1" applyBorder="1" applyAlignment="1">
      <alignment horizontal="center" vertical="center" textRotation="255" shrinkToFit="1"/>
    </xf>
    <xf numFmtId="0" fontId="0" fillId="0" borderId="13" xfId="0" applyBorder="1" applyAlignment="1">
      <alignment vertical="center" shrinkToFit="1"/>
    </xf>
    <xf numFmtId="0" fontId="0" fillId="0" borderId="17" xfId="0" applyBorder="1" applyAlignment="1">
      <alignment vertical="center" shrinkToFit="1"/>
    </xf>
    <xf numFmtId="0" fontId="6" fillId="0" borderId="5" xfId="0" applyFont="1" applyBorder="1" applyAlignment="1">
      <alignment horizontal="left" vertical="center" shrinkToFit="1"/>
    </xf>
    <xf numFmtId="0" fontId="6" fillId="0" borderId="6" xfId="0" applyFont="1" applyBorder="1" applyAlignment="1">
      <alignment horizontal="left" vertical="center" shrinkToFit="1"/>
    </xf>
    <xf numFmtId="0" fontId="6" fillId="0" borderId="7" xfId="0" applyFont="1" applyBorder="1" applyAlignment="1">
      <alignment horizontal="left" vertical="center" shrinkToFit="1"/>
    </xf>
    <xf numFmtId="0" fontId="6" fillId="0" borderId="1" xfId="0" applyFont="1" applyBorder="1" applyAlignment="1">
      <alignment horizontal="left" vertical="center" shrinkToFit="1"/>
    </xf>
    <xf numFmtId="0" fontId="6" fillId="0" borderId="0" xfId="0" applyFont="1" applyBorder="1" applyAlignment="1">
      <alignment horizontal="left" vertical="center" shrinkToFit="1"/>
    </xf>
    <xf numFmtId="0" fontId="6" fillId="0" borderId="2" xfId="0" applyFont="1" applyBorder="1" applyAlignment="1">
      <alignment horizontal="left" vertical="center" shrinkToFit="1"/>
    </xf>
    <xf numFmtId="0" fontId="6" fillId="0" borderId="8" xfId="0" applyFont="1" applyBorder="1" applyAlignment="1">
      <alignment horizontal="left" vertical="center" shrinkToFit="1"/>
    </xf>
    <xf numFmtId="0" fontId="6" fillId="0" borderId="3" xfId="0" applyFont="1" applyBorder="1" applyAlignment="1">
      <alignment horizontal="left" vertical="center" shrinkToFit="1"/>
    </xf>
    <xf numFmtId="0" fontId="6" fillId="0" borderId="4" xfId="0" applyFont="1" applyBorder="1" applyAlignment="1">
      <alignment horizontal="left" vertical="center" shrinkToFit="1"/>
    </xf>
    <xf numFmtId="0" fontId="31" fillId="0" borderId="5" xfId="0" applyFont="1" applyBorder="1" applyAlignment="1">
      <alignment horizontal="center" vertical="center"/>
    </xf>
    <xf numFmtId="0" fontId="31" fillId="0" borderId="6" xfId="0" applyFont="1" applyBorder="1" applyAlignment="1">
      <alignment horizontal="center" vertical="center"/>
    </xf>
    <xf numFmtId="0" fontId="31" fillId="0" borderId="7" xfId="0" applyFont="1" applyBorder="1" applyAlignment="1">
      <alignment horizontal="center" vertical="center"/>
    </xf>
    <xf numFmtId="0" fontId="31" fillId="0" borderId="1" xfId="0" applyFont="1" applyBorder="1" applyAlignment="1">
      <alignment horizontal="center" vertical="center"/>
    </xf>
    <xf numFmtId="0" fontId="31" fillId="0" borderId="0" xfId="0" applyFont="1" applyBorder="1" applyAlignment="1">
      <alignment horizontal="center" vertical="center"/>
    </xf>
    <xf numFmtId="0" fontId="31" fillId="0" borderId="2" xfId="0" applyFont="1" applyBorder="1" applyAlignment="1">
      <alignment horizontal="center" vertical="center"/>
    </xf>
    <xf numFmtId="0" fontId="31" fillId="0" borderId="8" xfId="0" applyFont="1" applyBorder="1" applyAlignment="1">
      <alignment horizontal="center" vertical="center"/>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6" fillId="0" borderId="13" xfId="0" applyFont="1" applyBorder="1" applyAlignment="1">
      <alignment horizontal="right" vertical="center" shrinkToFit="1"/>
    </xf>
    <xf numFmtId="0" fontId="6" fillId="0" borderId="13" xfId="0" applyFont="1" applyBorder="1" applyAlignment="1">
      <alignment horizontal="left" vertical="center" shrinkToFit="1"/>
    </xf>
    <xf numFmtId="0" fontId="10" fillId="0" borderId="5" xfId="0" applyFont="1" applyBorder="1" applyAlignment="1">
      <alignment horizontal="center" vertical="center" shrinkToFit="1"/>
    </xf>
    <xf numFmtId="0" fontId="10" fillId="0" borderId="6" xfId="0" applyFont="1" applyBorder="1" applyAlignment="1">
      <alignment horizontal="center" vertical="center" shrinkToFit="1"/>
    </xf>
    <xf numFmtId="0" fontId="10" fillId="0" borderId="7" xfId="0" applyFont="1" applyBorder="1" applyAlignment="1">
      <alignment horizontal="center" vertical="center" shrinkToFit="1"/>
    </xf>
    <xf numFmtId="0" fontId="10" fillId="0" borderId="1" xfId="0" applyFont="1" applyBorder="1" applyAlignment="1">
      <alignment horizontal="center" vertical="center" shrinkToFit="1"/>
    </xf>
    <xf numFmtId="0" fontId="10" fillId="0" borderId="0" xfId="0" applyFont="1" applyBorder="1" applyAlignment="1">
      <alignment horizontal="center" vertical="center" shrinkToFit="1"/>
    </xf>
    <xf numFmtId="0" fontId="10" fillId="0" borderId="2" xfId="0" applyFont="1" applyBorder="1" applyAlignment="1">
      <alignment horizontal="center" vertical="center" shrinkToFit="1"/>
    </xf>
    <xf numFmtId="0" fontId="10" fillId="0" borderId="8"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4" xfId="0" applyFont="1" applyBorder="1" applyAlignment="1">
      <alignment horizontal="center" vertical="center" shrinkToFit="1"/>
    </xf>
    <xf numFmtId="0" fontId="30" fillId="0" borderId="13" xfId="0" applyFont="1" applyBorder="1" applyAlignment="1">
      <alignment horizontal="center" vertical="center" textRotation="255" shrinkToFit="1"/>
    </xf>
    <xf numFmtId="0" fontId="30" fillId="0" borderId="6" xfId="0" applyFont="1" applyBorder="1" applyAlignment="1">
      <alignment horizontal="center" vertical="center" shrinkToFit="1"/>
    </xf>
    <xf numFmtId="0" fontId="30" fillId="0" borderId="7" xfId="0" applyFont="1" applyBorder="1" applyAlignment="1">
      <alignment horizontal="center" vertical="center" shrinkToFit="1"/>
    </xf>
    <xf numFmtId="0" fontId="30" fillId="0" borderId="0" xfId="0" applyFont="1" applyBorder="1" applyAlignment="1">
      <alignment horizontal="center" vertical="center" shrinkToFit="1"/>
    </xf>
    <xf numFmtId="0" fontId="30" fillId="0" borderId="2" xfId="0" applyFont="1" applyBorder="1" applyAlignment="1">
      <alignment horizontal="center" vertical="center" shrinkToFit="1"/>
    </xf>
    <xf numFmtId="0" fontId="30" fillId="0" borderId="3" xfId="0" applyFont="1" applyBorder="1" applyAlignment="1">
      <alignment horizontal="center" vertical="center" shrinkToFit="1"/>
    </xf>
    <xf numFmtId="0" fontId="30" fillId="0" borderId="4" xfId="0" applyFont="1" applyBorder="1" applyAlignment="1">
      <alignment horizontal="center" vertical="center" shrinkToFit="1"/>
    </xf>
    <xf numFmtId="0" fontId="5" fillId="0" borderId="13" xfId="0" applyFont="1" applyBorder="1" applyAlignment="1">
      <alignment horizontal="center" vertical="center" shrinkToFit="1"/>
    </xf>
    <xf numFmtId="0" fontId="12" fillId="0" borderId="6" xfId="0" applyFont="1" applyBorder="1" applyAlignment="1">
      <alignment horizontal="left" vertical="center" shrinkToFit="1"/>
    </xf>
    <xf numFmtId="0" fontId="12" fillId="0" borderId="7" xfId="0" applyFont="1" applyBorder="1" applyAlignment="1">
      <alignment horizontal="left" vertical="center" shrinkToFit="1"/>
    </xf>
    <xf numFmtId="0" fontId="12" fillId="0" borderId="0" xfId="0" applyFont="1" applyBorder="1" applyAlignment="1">
      <alignment horizontal="left" vertical="center" shrinkToFit="1"/>
    </xf>
    <xf numFmtId="0" fontId="12" fillId="0" borderId="2" xfId="0" applyFont="1" applyBorder="1" applyAlignment="1">
      <alignment horizontal="left" vertical="center" shrinkToFit="1"/>
    </xf>
    <xf numFmtId="0" fontId="12" fillId="0" borderId="3" xfId="0" applyFont="1" applyBorder="1" applyAlignment="1">
      <alignment horizontal="left" vertical="center" shrinkToFit="1"/>
    </xf>
    <xf numFmtId="0" fontId="12" fillId="0" borderId="4" xfId="0" applyFont="1" applyBorder="1" applyAlignment="1">
      <alignment horizontal="left" vertical="center" shrinkToFit="1"/>
    </xf>
    <xf numFmtId="0" fontId="12" fillId="0" borderId="5" xfId="0" applyFont="1" applyBorder="1" applyAlignment="1">
      <alignment horizontal="right" vertical="center" shrinkToFit="1"/>
    </xf>
    <xf numFmtId="0" fontId="12" fillId="0" borderId="6" xfId="0" applyFont="1" applyBorder="1" applyAlignment="1">
      <alignment horizontal="right" vertical="center" shrinkToFit="1"/>
    </xf>
    <xf numFmtId="0" fontId="12" fillId="0" borderId="1" xfId="0" applyFont="1" applyBorder="1" applyAlignment="1">
      <alignment horizontal="right" vertical="center" shrinkToFit="1"/>
    </xf>
    <xf numFmtId="0" fontId="12" fillId="0" borderId="0" xfId="0" applyFont="1" applyBorder="1" applyAlignment="1">
      <alignment horizontal="right" vertical="center" shrinkToFit="1"/>
    </xf>
    <xf numFmtId="0" fontId="12" fillId="0" borderId="8" xfId="0" applyFont="1" applyBorder="1" applyAlignment="1">
      <alignment horizontal="right" vertical="center" shrinkToFit="1"/>
    </xf>
    <xf numFmtId="0" fontId="12" fillId="0" borderId="3" xfId="0" applyFont="1" applyBorder="1" applyAlignment="1">
      <alignment horizontal="right" vertical="center" shrinkToFit="1"/>
    </xf>
    <xf numFmtId="180" fontId="6" fillId="0" borderId="5" xfId="0" applyNumberFormat="1" applyFont="1" applyBorder="1" applyAlignment="1">
      <alignment horizontal="center" vertical="center" shrinkToFit="1"/>
    </xf>
    <xf numFmtId="180" fontId="6" fillId="0" borderId="6" xfId="0" applyNumberFormat="1" applyFont="1" applyBorder="1" applyAlignment="1">
      <alignment horizontal="center" vertical="center" shrinkToFit="1"/>
    </xf>
    <xf numFmtId="180" fontId="6" fillId="0" borderId="8" xfId="0" applyNumberFormat="1" applyFont="1" applyBorder="1" applyAlignment="1">
      <alignment horizontal="center" vertical="center" shrinkToFit="1"/>
    </xf>
    <xf numFmtId="180" fontId="6" fillId="0" borderId="3" xfId="0" applyNumberFormat="1" applyFont="1" applyBorder="1" applyAlignment="1">
      <alignment horizontal="center" vertical="center" shrinkToFit="1"/>
    </xf>
    <xf numFmtId="180" fontId="6" fillId="0" borderId="7" xfId="0" applyNumberFormat="1" applyFont="1" applyBorder="1" applyAlignment="1">
      <alignment horizontal="center" vertical="center" shrinkToFit="1"/>
    </xf>
    <xf numFmtId="180" fontId="6" fillId="0" borderId="4" xfId="0" applyNumberFormat="1" applyFont="1" applyBorder="1" applyAlignment="1">
      <alignment horizontal="center" vertical="center" shrinkToFit="1"/>
    </xf>
    <xf numFmtId="182" fontId="5" fillId="0" borderId="13" xfId="0" applyNumberFormat="1" applyFont="1" applyBorder="1" applyAlignment="1">
      <alignment horizontal="center" vertical="center" shrinkToFit="1"/>
    </xf>
    <xf numFmtId="181" fontId="6" fillId="0" borderId="13" xfId="0" applyNumberFormat="1" applyFont="1" applyBorder="1" applyAlignment="1">
      <alignment horizontal="center" vertical="center" shrinkToFit="1"/>
    </xf>
    <xf numFmtId="180" fontId="6" fillId="0" borderId="13" xfId="0" applyNumberFormat="1" applyFont="1" applyBorder="1" applyAlignment="1">
      <alignment horizontal="left" vertical="center" shrinkToFit="1"/>
    </xf>
    <xf numFmtId="181" fontId="6" fillId="0" borderId="13" xfId="0" applyNumberFormat="1" applyFont="1" applyBorder="1" applyAlignment="1">
      <alignment horizontal="left" vertical="center" shrinkToFit="1"/>
    </xf>
    <xf numFmtId="181" fontId="6" fillId="0" borderId="14" xfId="0" applyNumberFormat="1" applyFont="1" applyBorder="1" applyAlignment="1">
      <alignment horizontal="center" vertical="center" shrinkToFit="1"/>
    </xf>
    <xf numFmtId="181" fontId="6" fillId="0" borderId="15" xfId="0" applyNumberFormat="1" applyFont="1" applyBorder="1" applyAlignment="1">
      <alignment horizontal="center" vertical="center" shrinkToFit="1"/>
    </xf>
    <xf numFmtId="180" fontId="6" fillId="0" borderId="17" xfId="0" applyNumberFormat="1" applyFont="1" applyBorder="1" applyAlignment="1">
      <alignment horizontal="left" vertical="center" shrinkToFit="1"/>
    </xf>
    <xf numFmtId="0" fontId="6" fillId="0" borderId="5" xfId="0" applyFont="1" applyBorder="1" applyAlignment="1">
      <alignment horizontal="left" vertical="center" wrapText="1" shrinkToFit="1"/>
    </xf>
    <xf numFmtId="0" fontId="6" fillId="0" borderId="6" xfId="0" applyFont="1" applyBorder="1" applyAlignment="1">
      <alignment horizontal="left" vertical="center" wrapText="1" shrinkToFit="1"/>
    </xf>
    <xf numFmtId="0" fontId="6" fillId="0" borderId="7" xfId="0" applyFont="1" applyBorder="1" applyAlignment="1">
      <alignment horizontal="left" vertical="center" wrapText="1" shrinkToFit="1"/>
    </xf>
    <xf numFmtId="0" fontId="6" fillId="0" borderId="1" xfId="0" applyFont="1" applyBorder="1" applyAlignment="1">
      <alignment horizontal="left" vertical="center" wrapText="1" shrinkToFit="1"/>
    </xf>
    <xf numFmtId="0" fontId="6" fillId="0" borderId="0" xfId="0" applyFont="1" applyBorder="1" applyAlignment="1">
      <alignment horizontal="left" vertical="center" wrapText="1" shrinkToFit="1"/>
    </xf>
    <xf numFmtId="0" fontId="6" fillId="0" borderId="2" xfId="0" applyFont="1" applyBorder="1" applyAlignment="1">
      <alignment horizontal="left" vertical="center" wrapText="1" shrinkToFit="1"/>
    </xf>
    <xf numFmtId="0" fontId="6" fillId="0" borderId="8" xfId="0" applyFont="1" applyBorder="1" applyAlignment="1">
      <alignment horizontal="left" vertical="center" wrapText="1" shrinkToFit="1"/>
    </xf>
    <xf numFmtId="0" fontId="6" fillId="0" borderId="3" xfId="0" applyFont="1" applyBorder="1" applyAlignment="1">
      <alignment horizontal="left" vertical="center" wrapText="1" shrinkToFit="1"/>
    </xf>
    <xf numFmtId="0" fontId="6" fillId="0" borderId="4" xfId="0" applyFont="1" applyBorder="1" applyAlignment="1">
      <alignment horizontal="left" vertical="center" wrapText="1" shrinkToFit="1"/>
    </xf>
    <xf numFmtId="0" fontId="6" fillId="0" borderId="17" xfId="0" applyFont="1" applyBorder="1" applyAlignment="1">
      <alignment horizontal="right" vertical="center" shrinkToFit="1"/>
    </xf>
    <xf numFmtId="0" fontId="6" fillId="0" borderId="13" xfId="0" applyFont="1" applyFill="1" applyBorder="1" applyAlignment="1">
      <alignment horizontal="right" vertical="center" shrinkToFit="1"/>
    </xf>
    <xf numFmtId="182" fontId="14" fillId="0" borderId="0" xfId="0" applyNumberFormat="1" applyFont="1" applyAlignment="1">
      <alignment horizontal="center" vertical="center" shrinkToFit="1"/>
    </xf>
    <xf numFmtId="182" fontId="14" fillId="0" borderId="3" xfId="0" applyNumberFormat="1" applyFont="1" applyBorder="1" applyAlignment="1">
      <alignment horizontal="center" vertical="center" shrinkToFit="1"/>
    </xf>
    <xf numFmtId="0" fontId="6" fillId="0" borderId="15" xfId="0" applyFont="1" applyFill="1" applyBorder="1" applyAlignment="1">
      <alignment horizontal="right" vertical="center" shrinkToFit="1"/>
    </xf>
    <xf numFmtId="0" fontId="0" fillId="0" borderId="15" xfId="0" applyBorder="1" applyAlignment="1">
      <alignment horizontal="right" vertical="center" shrinkToFit="1"/>
    </xf>
    <xf numFmtId="0" fontId="6" fillId="0" borderId="15" xfId="0" applyFont="1" applyBorder="1" applyAlignment="1">
      <alignment horizontal="right" vertical="center" shrinkToFit="1"/>
    </xf>
    <xf numFmtId="0" fontId="14" fillId="0" borderId="1" xfId="0" applyFont="1" applyBorder="1" applyAlignment="1">
      <alignment horizontal="center" vertical="center" shrinkToFit="1"/>
    </xf>
    <xf numFmtId="0" fontId="14" fillId="0" borderId="0" xfId="0" applyFont="1" applyAlignment="1">
      <alignment horizontal="center" vertical="center" shrinkToFit="1"/>
    </xf>
    <xf numFmtId="0" fontId="14" fillId="0" borderId="8" xfId="0" applyFont="1" applyBorder="1" applyAlignment="1">
      <alignment horizontal="center" vertical="center" shrinkToFit="1"/>
    </xf>
    <xf numFmtId="0" fontId="14" fillId="0" borderId="3" xfId="0" applyFont="1" applyBorder="1" applyAlignment="1">
      <alignment horizontal="center" vertical="center" shrinkToFit="1"/>
    </xf>
    <xf numFmtId="0" fontId="6" fillId="0" borderId="0" xfId="0" applyFont="1" applyBorder="1" applyAlignment="1">
      <alignment horizontal="center" vertical="center" shrinkToFit="1"/>
    </xf>
    <xf numFmtId="0" fontId="6" fillId="0" borderId="2"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4" xfId="0" applyFont="1" applyBorder="1" applyAlignment="1">
      <alignment horizontal="center" vertical="center" shrinkToFit="1"/>
    </xf>
    <xf numFmtId="0" fontId="14" fillId="0" borderId="0" xfId="0" applyFont="1" applyFill="1" applyBorder="1" applyAlignment="1">
      <alignment horizontal="left" vertical="center"/>
    </xf>
    <xf numFmtId="0" fontId="14" fillId="0" borderId="18" xfId="0" applyFont="1" applyFill="1" applyBorder="1" applyAlignment="1">
      <alignment horizontal="center" vertical="center"/>
    </xf>
    <xf numFmtId="0" fontId="14" fillId="0" borderId="0" xfId="0" applyFont="1" applyFill="1" applyBorder="1" applyAlignment="1">
      <alignment horizontal="left" vertical="center" wrapText="1"/>
    </xf>
    <xf numFmtId="0" fontId="14" fillId="0" borderId="0" xfId="0" applyFont="1" applyFill="1" applyBorder="1" applyAlignment="1">
      <alignment horizontal="left" vertical="distributed"/>
    </xf>
    <xf numFmtId="0" fontId="14" fillId="0" borderId="5" xfId="0" applyFont="1" applyFill="1" applyBorder="1" applyAlignment="1">
      <alignment horizontal="center" vertical="center"/>
    </xf>
    <xf numFmtId="0" fontId="14" fillId="0" borderId="6" xfId="0" applyFont="1" applyFill="1" applyBorder="1" applyAlignment="1">
      <alignment horizontal="center" vertical="center"/>
    </xf>
    <xf numFmtId="0" fontId="14" fillId="0" borderId="7" xfId="0" applyFont="1" applyFill="1" applyBorder="1" applyAlignment="1">
      <alignment horizontal="center" vertical="center"/>
    </xf>
    <xf numFmtId="0" fontId="14" fillId="0" borderId="1" xfId="0" applyFont="1" applyFill="1" applyBorder="1" applyAlignment="1">
      <alignment horizontal="center" vertical="center"/>
    </xf>
    <xf numFmtId="0" fontId="14" fillId="0" borderId="0" xfId="0" applyFont="1" applyFill="1" applyBorder="1" applyAlignment="1">
      <alignment horizontal="center" vertical="center"/>
    </xf>
    <xf numFmtId="0" fontId="14" fillId="0" borderId="2" xfId="0" applyFont="1" applyFill="1" applyBorder="1" applyAlignment="1">
      <alignment horizontal="center" vertical="center"/>
    </xf>
    <xf numFmtId="0" fontId="14" fillId="0" borderId="8" xfId="0" applyFont="1" applyFill="1" applyBorder="1" applyAlignment="1">
      <alignment horizontal="center" vertical="center"/>
    </xf>
    <xf numFmtId="0" fontId="14" fillId="0" borderId="3" xfId="0" applyFont="1" applyFill="1" applyBorder="1" applyAlignment="1">
      <alignment horizontal="center" vertical="center"/>
    </xf>
    <xf numFmtId="0" fontId="14" fillId="0" borderId="4" xfId="0" applyFont="1" applyFill="1" applyBorder="1" applyAlignment="1">
      <alignment horizontal="center" vertical="center"/>
    </xf>
    <xf numFmtId="0" fontId="14" fillId="0" borderId="0" xfId="0" applyFont="1" applyFill="1" applyBorder="1" applyAlignment="1">
      <alignment horizontal="left" vertical="center" shrinkToFit="1"/>
    </xf>
    <xf numFmtId="0" fontId="14" fillId="0" borderId="0" xfId="0" applyFont="1" applyFill="1" applyBorder="1" applyAlignment="1">
      <alignment horizontal="center" vertical="center" shrinkToFit="1"/>
    </xf>
    <xf numFmtId="0" fontId="16" fillId="0" borderId="0" xfId="0" applyFont="1" applyFill="1" applyBorder="1" applyAlignment="1">
      <alignment horizontal="left" vertical="center" wrapText="1"/>
    </xf>
    <xf numFmtId="0" fontId="6" fillId="0" borderId="0" xfId="0" applyFont="1" applyFill="1" applyBorder="1" applyAlignment="1">
      <alignment horizontal="left" vertical="top" wrapText="1"/>
    </xf>
    <xf numFmtId="0" fontId="14" fillId="0" borderId="9" xfId="0" applyFont="1" applyFill="1" applyBorder="1" applyAlignment="1">
      <alignment horizontal="center" vertical="center"/>
    </xf>
    <xf numFmtId="0" fontId="0" fillId="0" borderId="0" xfId="0">
      <alignment vertical="center"/>
    </xf>
    <xf numFmtId="0" fontId="14" fillId="0" borderId="14" xfId="0" applyFont="1" applyFill="1" applyBorder="1" applyAlignment="1">
      <alignment horizontal="center" vertical="center" shrinkToFit="1"/>
    </xf>
    <xf numFmtId="0" fontId="14" fillId="0" borderId="15" xfId="0" applyFont="1" applyFill="1" applyBorder="1" applyAlignment="1">
      <alignment horizontal="center" vertical="center" shrinkToFit="1"/>
    </xf>
    <xf numFmtId="0" fontId="17" fillId="0" borderId="17" xfId="0" applyFont="1" applyFill="1" applyBorder="1" applyAlignment="1">
      <alignment horizontal="center" vertical="center" shrinkToFit="1"/>
    </xf>
    <xf numFmtId="0" fontId="17" fillId="0" borderId="23" xfId="0" applyFont="1" applyFill="1" applyBorder="1" applyAlignment="1">
      <alignment horizontal="center" vertical="center" shrinkToFit="1"/>
    </xf>
    <xf numFmtId="0" fontId="17" fillId="0" borderId="22" xfId="0" applyFont="1" applyFill="1" applyBorder="1" applyAlignment="1">
      <alignment horizontal="center" vertical="center" shrinkToFit="1"/>
    </xf>
    <xf numFmtId="0" fontId="15" fillId="0" borderId="5" xfId="0" applyFont="1" applyFill="1" applyBorder="1" applyAlignment="1">
      <alignment horizontal="center" vertical="center" textRotation="255" shrinkToFit="1"/>
    </xf>
    <xf numFmtId="0" fontId="15" fillId="0" borderId="6" xfId="0" applyFont="1" applyFill="1" applyBorder="1" applyAlignment="1">
      <alignment horizontal="center" vertical="center" textRotation="255" shrinkToFit="1"/>
    </xf>
    <xf numFmtId="0" fontId="15" fillId="0" borderId="1" xfId="0" applyFont="1" applyFill="1" applyBorder="1" applyAlignment="1">
      <alignment horizontal="center" vertical="center" textRotation="255" shrinkToFit="1"/>
    </xf>
    <xf numFmtId="0" fontId="15" fillId="0" borderId="0" xfId="0" applyFont="1" applyFill="1" applyBorder="1" applyAlignment="1">
      <alignment horizontal="center" vertical="center" textRotation="255" shrinkToFit="1"/>
    </xf>
    <xf numFmtId="0" fontId="15" fillId="0" borderId="8" xfId="0" applyFont="1" applyFill="1" applyBorder="1" applyAlignment="1">
      <alignment horizontal="center" vertical="center" textRotation="255" shrinkToFit="1"/>
    </xf>
    <xf numFmtId="0" fontId="15" fillId="0" borderId="3" xfId="0" applyFont="1" applyFill="1" applyBorder="1" applyAlignment="1">
      <alignment horizontal="center" vertical="center" textRotation="255" shrinkToFit="1"/>
    </xf>
    <xf numFmtId="182" fontId="14" fillId="0" borderId="15" xfId="0" applyNumberFormat="1" applyFont="1" applyFill="1" applyBorder="1" applyAlignment="1">
      <alignment horizontal="center" vertical="center" shrinkToFit="1"/>
    </xf>
    <xf numFmtId="0" fontId="14" fillId="0" borderId="16" xfId="0" applyFont="1" applyFill="1" applyBorder="1" applyAlignment="1">
      <alignment horizontal="center" vertical="center" shrinkToFit="1"/>
    </xf>
    <xf numFmtId="0" fontId="17" fillId="0" borderId="5" xfId="0" applyFont="1" applyFill="1" applyBorder="1" applyAlignment="1">
      <alignment horizontal="center" vertical="center" shrinkToFit="1"/>
    </xf>
    <xf numFmtId="0" fontId="17" fillId="0" borderId="6" xfId="0" applyFont="1" applyFill="1" applyBorder="1" applyAlignment="1">
      <alignment horizontal="center" vertical="center" shrinkToFit="1"/>
    </xf>
    <xf numFmtId="0" fontId="17" fillId="0" borderId="1" xfId="0" applyFont="1" applyFill="1" applyBorder="1" applyAlignment="1">
      <alignment horizontal="center" vertical="center" shrinkToFit="1"/>
    </xf>
    <xf numFmtId="0" fontId="17" fillId="0" borderId="0" xfId="0" applyFont="1" applyFill="1" applyBorder="1" applyAlignment="1">
      <alignment horizontal="center" vertical="center" shrinkToFit="1"/>
    </xf>
    <xf numFmtId="0" fontId="17" fillId="0" borderId="8" xfId="0" applyFont="1" applyFill="1" applyBorder="1" applyAlignment="1">
      <alignment horizontal="center" vertical="center" shrinkToFit="1"/>
    </xf>
    <xf numFmtId="0" fontId="17" fillId="0" borderId="3" xfId="0" applyFont="1" applyFill="1" applyBorder="1" applyAlignment="1">
      <alignment horizontal="center" vertical="center" shrinkToFit="1"/>
    </xf>
    <xf numFmtId="0" fontId="17" fillId="0" borderId="7" xfId="0" applyFont="1" applyFill="1" applyBorder="1" applyAlignment="1">
      <alignment horizontal="center" vertical="center" shrinkToFit="1"/>
    </xf>
    <xf numFmtId="0" fontId="17" fillId="0" borderId="2" xfId="0" applyFont="1" applyFill="1" applyBorder="1" applyAlignment="1">
      <alignment horizontal="center" vertical="center" shrinkToFit="1"/>
    </xf>
    <xf numFmtId="0" fontId="17" fillId="0" borderId="4" xfId="0" applyFont="1" applyFill="1" applyBorder="1" applyAlignment="1">
      <alignment horizontal="center" vertical="center" shrinkToFit="1"/>
    </xf>
    <xf numFmtId="0" fontId="14" fillId="0" borderId="5" xfId="0" applyFont="1" applyFill="1" applyBorder="1" applyAlignment="1">
      <alignment horizontal="left" vertical="center" shrinkToFit="1"/>
    </xf>
    <xf numFmtId="0" fontId="14" fillId="0" borderId="6" xfId="0" applyFont="1" applyFill="1" applyBorder="1" applyAlignment="1">
      <alignment horizontal="left" vertical="center" shrinkToFit="1"/>
    </xf>
    <xf numFmtId="0" fontId="14" fillId="0" borderId="8" xfId="0" applyFont="1" applyFill="1" applyBorder="1" applyAlignment="1">
      <alignment horizontal="left" vertical="center" shrinkToFit="1"/>
    </xf>
    <xf numFmtId="0" fontId="14" fillId="0" borderId="3" xfId="0" applyFont="1" applyFill="1" applyBorder="1" applyAlignment="1">
      <alignment horizontal="left" vertical="center" shrinkToFit="1"/>
    </xf>
    <xf numFmtId="0" fontId="14" fillId="0" borderId="6" xfId="0" applyFont="1" applyFill="1" applyBorder="1" applyAlignment="1">
      <alignment horizontal="right" vertical="center" shrinkToFit="1"/>
    </xf>
    <xf numFmtId="0" fontId="14" fillId="0" borderId="7" xfId="0" applyFont="1" applyFill="1" applyBorder="1" applyAlignment="1">
      <alignment horizontal="right" vertical="center" shrinkToFit="1"/>
    </xf>
    <xf numFmtId="0" fontId="14" fillId="0" borderId="3" xfId="0" applyFont="1" applyFill="1" applyBorder="1" applyAlignment="1">
      <alignment horizontal="right" vertical="center" shrinkToFit="1"/>
    </xf>
    <xf numFmtId="0" fontId="14" fillId="0" borderId="4" xfId="0" applyFont="1" applyFill="1" applyBorder="1" applyAlignment="1">
      <alignment horizontal="right" vertical="center" shrinkToFit="1"/>
    </xf>
    <xf numFmtId="0" fontId="14" fillId="0" borderId="6" xfId="0" applyFont="1" applyFill="1" applyBorder="1" applyAlignment="1">
      <alignment horizontal="center" vertical="center" shrinkToFit="1"/>
    </xf>
    <xf numFmtId="0" fontId="14" fillId="0" borderId="7" xfId="0" applyFont="1" applyFill="1" applyBorder="1" applyAlignment="1">
      <alignment horizontal="center" vertical="center" shrinkToFit="1"/>
    </xf>
    <xf numFmtId="0" fontId="14" fillId="0" borderId="3" xfId="0" applyFont="1" applyFill="1" applyBorder="1" applyAlignment="1">
      <alignment horizontal="center" vertical="center" shrinkToFit="1"/>
    </xf>
    <xf numFmtId="0" fontId="14" fillId="0" borderId="4" xfId="0" applyFont="1" applyFill="1" applyBorder="1" applyAlignment="1">
      <alignment horizontal="center" vertical="center" shrinkToFit="1"/>
    </xf>
    <xf numFmtId="0" fontId="14" fillId="0" borderId="2" xfId="0" applyFont="1" applyFill="1" applyBorder="1" applyAlignment="1">
      <alignment horizontal="center" vertical="center" shrinkToFit="1"/>
    </xf>
    <xf numFmtId="0" fontId="14" fillId="0" borderId="5" xfId="0" applyFont="1" applyFill="1" applyBorder="1" applyAlignment="1">
      <alignment vertical="center" shrinkToFit="1"/>
    </xf>
    <xf numFmtId="0" fontId="14" fillId="0" borderId="6" xfId="0" applyFont="1" applyFill="1" applyBorder="1" applyAlignment="1">
      <alignment vertical="center" shrinkToFit="1"/>
    </xf>
    <xf numFmtId="0" fontId="14" fillId="0" borderId="8" xfId="0" applyFont="1" applyFill="1" applyBorder="1" applyAlignment="1">
      <alignment vertical="center" shrinkToFit="1"/>
    </xf>
    <xf numFmtId="0" fontId="14" fillId="0" borderId="3" xfId="0" applyFont="1" applyFill="1" applyBorder="1" applyAlignment="1">
      <alignment vertical="center" shrinkToFit="1"/>
    </xf>
    <xf numFmtId="0" fontId="14" fillId="0" borderId="1" xfId="0" applyFont="1" applyFill="1" applyBorder="1" applyAlignment="1">
      <alignment vertical="center" shrinkToFit="1"/>
    </xf>
    <xf numFmtId="0" fontId="14" fillId="0" borderId="0" xfId="0" applyFont="1" applyFill="1" applyBorder="1" applyAlignment="1">
      <alignment vertical="center" shrinkToFit="1"/>
    </xf>
    <xf numFmtId="0" fontId="14" fillId="0" borderId="5" xfId="0" applyFont="1" applyFill="1" applyBorder="1" applyAlignment="1">
      <alignment horizontal="center" vertical="center" shrinkToFit="1"/>
    </xf>
    <xf numFmtId="0" fontId="14" fillId="0" borderId="1" xfId="0" applyFont="1" applyFill="1" applyBorder="1" applyAlignment="1">
      <alignment horizontal="center" vertical="center" shrinkToFit="1"/>
    </xf>
    <xf numFmtId="0" fontId="14" fillId="0" borderId="8" xfId="0" applyFont="1" applyFill="1" applyBorder="1" applyAlignment="1">
      <alignment horizontal="center" vertical="center" shrinkToFit="1"/>
    </xf>
    <xf numFmtId="0" fontId="14" fillId="0" borderId="17" xfId="0" applyFont="1" applyFill="1" applyBorder="1" applyAlignment="1">
      <alignment horizontal="center" vertical="center"/>
    </xf>
    <xf numFmtId="0" fontId="14" fillId="0" borderId="22" xfId="0" applyFont="1" applyFill="1" applyBorder="1" applyAlignment="1">
      <alignment horizontal="center" vertical="center"/>
    </xf>
    <xf numFmtId="0" fontId="17" fillId="0" borderId="0" xfId="0" applyFont="1" applyFill="1" applyBorder="1" applyAlignment="1">
      <alignment horizontal="left" vertical="center"/>
    </xf>
    <xf numFmtId="0" fontId="15" fillId="0" borderId="13" xfId="0" applyFont="1" applyFill="1" applyBorder="1" applyAlignment="1">
      <alignment horizontal="center" vertical="center" textRotation="255"/>
    </xf>
    <xf numFmtId="176" fontId="15" fillId="0" borderId="6" xfId="0" applyNumberFormat="1" applyFont="1" applyFill="1" applyBorder="1" applyAlignment="1">
      <alignment horizontal="center" vertical="center" shrinkToFit="1"/>
    </xf>
    <xf numFmtId="176" fontId="15" fillId="0" borderId="7" xfId="0" applyNumberFormat="1" applyFont="1" applyFill="1" applyBorder="1" applyAlignment="1">
      <alignment horizontal="center" vertical="center" shrinkToFit="1"/>
    </xf>
    <xf numFmtId="176" fontId="15" fillId="0" borderId="3" xfId="0" applyNumberFormat="1" applyFont="1" applyFill="1" applyBorder="1" applyAlignment="1">
      <alignment horizontal="center" vertical="center" shrinkToFit="1"/>
    </xf>
    <xf numFmtId="176" fontId="15" fillId="0" borderId="4" xfId="0" applyNumberFormat="1" applyFont="1" applyFill="1" applyBorder="1" applyAlignment="1">
      <alignment horizontal="center" vertical="center" shrinkToFit="1"/>
    </xf>
    <xf numFmtId="0" fontId="15" fillId="0" borderId="14" xfId="0" applyFont="1" applyFill="1" applyBorder="1" applyAlignment="1">
      <alignment horizontal="center" vertical="center"/>
    </xf>
    <xf numFmtId="0" fontId="15" fillId="0" borderId="15" xfId="0" applyFont="1" applyFill="1" applyBorder="1" applyAlignment="1">
      <alignment horizontal="center" vertical="center"/>
    </xf>
    <xf numFmtId="0" fontId="12" fillId="0" borderId="0" xfId="0" applyFont="1" applyFill="1" applyBorder="1" applyAlignment="1">
      <alignment horizontal="left" vertical="center"/>
    </xf>
    <xf numFmtId="0" fontId="0" fillId="0" borderId="2" xfId="0" applyBorder="1">
      <alignment vertical="center"/>
    </xf>
    <xf numFmtId="182" fontId="15" fillId="0" borderId="15" xfId="0" applyNumberFormat="1" applyFont="1" applyFill="1" applyBorder="1" applyAlignment="1">
      <alignment horizontal="center" vertical="center" shrinkToFit="1"/>
    </xf>
    <xf numFmtId="0" fontId="15" fillId="0" borderId="14" xfId="0" applyFont="1" applyFill="1" applyBorder="1" applyAlignment="1">
      <alignment horizontal="center" vertical="center" textRotation="255"/>
    </xf>
    <xf numFmtId="0" fontId="15" fillId="0" borderId="15" xfId="0" applyFont="1" applyFill="1" applyBorder="1" applyAlignment="1">
      <alignment horizontal="center" vertical="center" textRotation="255"/>
    </xf>
    <xf numFmtId="0" fontId="15" fillId="0" borderId="16" xfId="0" applyFont="1" applyFill="1" applyBorder="1" applyAlignment="1">
      <alignment horizontal="center" vertical="center" textRotation="255"/>
    </xf>
    <xf numFmtId="0" fontId="15" fillId="0" borderId="5" xfId="0" applyFont="1" applyFill="1" applyBorder="1" applyAlignment="1">
      <alignment horizontal="center" vertical="center" textRotation="255"/>
    </xf>
    <xf numFmtId="0" fontId="15" fillId="0" borderId="6" xfId="0" applyFont="1" applyFill="1" applyBorder="1" applyAlignment="1">
      <alignment horizontal="center" vertical="center" textRotation="255"/>
    </xf>
    <xf numFmtId="0" fontId="15" fillId="0" borderId="7" xfId="0" applyFont="1" applyFill="1" applyBorder="1" applyAlignment="1">
      <alignment horizontal="center" vertical="center" textRotation="255"/>
    </xf>
    <xf numFmtId="0" fontId="15" fillId="0" borderId="19" xfId="0" applyFont="1" applyFill="1" applyBorder="1" applyAlignment="1">
      <alignment horizontal="center" vertical="center" wrapText="1"/>
    </xf>
    <xf numFmtId="0" fontId="15" fillId="0" borderId="20" xfId="0" applyFont="1" applyFill="1" applyBorder="1" applyAlignment="1">
      <alignment horizontal="center" vertical="center" wrapText="1"/>
    </xf>
    <xf numFmtId="0" fontId="15" fillId="0" borderId="21" xfId="0" applyFont="1" applyFill="1" applyBorder="1" applyAlignment="1">
      <alignment horizontal="center" vertical="center" wrapText="1"/>
    </xf>
    <xf numFmtId="0" fontId="12" fillId="0" borderId="0" xfId="0" applyFont="1" applyFill="1" applyBorder="1" applyAlignment="1">
      <alignment horizontal="left" vertical="center" wrapText="1"/>
    </xf>
    <xf numFmtId="0" fontId="12" fillId="0" borderId="2" xfId="0" applyFont="1" applyFill="1" applyBorder="1" applyAlignment="1">
      <alignment horizontal="left" vertical="center" wrapText="1"/>
    </xf>
    <xf numFmtId="0" fontId="14" fillId="0" borderId="13" xfId="0" applyFont="1" applyFill="1" applyBorder="1" applyAlignment="1">
      <alignment horizontal="center" vertical="center"/>
    </xf>
    <xf numFmtId="0" fontId="57" fillId="0" borderId="14" xfId="0" applyFont="1" applyFill="1" applyBorder="1" applyAlignment="1">
      <alignment horizontal="center" vertical="center" wrapText="1"/>
    </xf>
    <xf numFmtId="0" fontId="57" fillId="0" borderId="15" xfId="0" applyFont="1" applyFill="1" applyBorder="1" applyAlignment="1">
      <alignment horizontal="center" vertical="center" wrapText="1"/>
    </xf>
    <xf numFmtId="0" fontId="57" fillId="0" borderId="16" xfId="0" applyFont="1" applyFill="1" applyBorder="1" applyAlignment="1">
      <alignment horizontal="center" vertical="center" wrapText="1"/>
    </xf>
    <xf numFmtId="0" fontId="6" fillId="0" borderId="0" xfId="0" applyFont="1" applyFill="1" applyBorder="1" applyAlignment="1">
      <alignment horizontal="left" vertical="center" wrapText="1"/>
    </xf>
    <xf numFmtId="0" fontId="6" fillId="0" borderId="2" xfId="0" applyFont="1" applyFill="1" applyBorder="1" applyAlignment="1">
      <alignment horizontal="left" vertical="center" wrapText="1"/>
    </xf>
    <xf numFmtId="0" fontId="6" fillId="0" borderId="1" xfId="0" applyFont="1" applyFill="1" applyBorder="1" applyAlignment="1">
      <alignment horizontal="left" vertical="center" wrapText="1"/>
    </xf>
    <xf numFmtId="0" fontId="6" fillId="0" borderId="8" xfId="0" applyFont="1" applyFill="1" applyBorder="1" applyAlignment="1">
      <alignment horizontal="left" vertical="center" wrapText="1"/>
    </xf>
    <xf numFmtId="0" fontId="6" fillId="0" borderId="3" xfId="0" applyFont="1" applyFill="1" applyBorder="1" applyAlignment="1">
      <alignment horizontal="left" vertical="center" wrapText="1"/>
    </xf>
    <xf numFmtId="0" fontId="6" fillId="0" borderId="4" xfId="0" applyFont="1" applyFill="1" applyBorder="1" applyAlignment="1">
      <alignment horizontal="left" vertical="center" wrapText="1"/>
    </xf>
    <xf numFmtId="0" fontId="14" fillId="0" borderId="17" xfId="0" applyFont="1" applyFill="1" applyBorder="1" applyAlignment="1">
      <alignment horizontal="center" vertical="center" shrinkToFit="1"/>
    </xf>
    <xf numFmtId="0" fontId="14" fillId="0" borderId="22" xfId="0" applyFont="1" applyFill="1" applyBorder="1" applyAlignment="1">
      <alignment horizontal="center" vertical="center" shrinkToFit="1"/>
    </xf>
    <xf numFmtId="182" fontId="15" fillId="0" borderId="17" xfId="0" applyNumberFormat="1" applyFont="1" applyFill="1" applyBorder="1" applyAlignment="1">
      <alignment horizontal="center" vertical="center" shrinkToFit="1"/>
    </xf>
    <xf numFmtId="182" fontId="15" fillId="0" borderId="22" xfId="0" applyNumberFormat="1" applyFont="1" applyFill="1" applyBorder="1" applyAlignment="1">
      <alignment horizontal="center" vertical="center" shrinkToFit="1"/>
    </xf>
    <xf numFmtId="0" fontId="15" fillId="0" borderId="5" xfId="0" applyFont="1" applyFill="1" applyBorder="1" applyAlignment="1">
      <alignment horizontal="center" vertical="center" textRotation="255" wrapText="1"/>
    </xf>
    <xf numFmtId="0" fontId="15" fillId="0" borderId="6" xfId="0" applyFont="1" applyFill="1" applyBorder="1" applyAlignment="1">
      <alignment horizontal="center" vertical="center" textRotation="255" wrapText="1"/>
    </xf>
    <xf numFmtId="0" fontId="15" fillId="0" borderId="7" xfId="0" applyFont="1" applyFill="1" applyBorder="1" applyAlignment="1">
      <alignment horizontal="center" vertical="center" textRotation="255" wrapText="1"/>
    </xf>
    <xf numFmtId="0" fontId="15" fillId="0" borderId="1" xfId="0" applyFont="1" applyFill="1" applyBorder="1" applyAlignment="1">
      <alignment horizontal="center" vertical="center" textRotation="255" wrapText="1"/>
    </xf>
    <xf numFmtId="0" fontId="15" fillId="0" borderId="0" xfId="0" applyFont="1" applyFill="1" applyBorder="1" applyAlignment="1">
      <alignment horizontal="center" vertical="center" textRotation="255" wrapText="1"/>
    </xf>
    <xf numFmtId="0" fontId="15" fillId="0" borderId="2" xfId="0" applyFont="1" applyFill="1" applyBorder="1" applyAlignment="1">
      <alignment horizontal="center" vertical="center" textRotation="255" wrapText="1"/>
    </xf>
    <xf numFmtId="0" fontId="15" fillId="0" borderId="8" xfId="0" applyFont="1" applyFill="1" applyBorder="1" applyAlignment="1">
      <alignment horizontal="center" vertical="center" textRotation="255" wrapText="1"/>
    </xf>
    <xf numFmtId="0" fontId="15" fillId="0" borderId="3" xfId="0" applyFont="1" applyFill="1" applyBorder="1" applyAlignment="1">
      <alignment horizontal="center" vertical="center" textRotation="255" wrapText="1"/>
    </xf>
    <xf numFmtId="0" fontId="15" fillId="0" borderId="4" xfId="0" applyFont="1" applyFill="1" applyBorder="1" applyAlignment="1">
      <alignment horizontal="center" vertical="center" textRotation="255" wrapText="1"/>
    </xf>
    <xf numFmtId="9" fontId="14" fillId="0" borderId="5" xfId="0" applyNumberFormat="1" applyFont="1" applyFill="1" applyBorder="1" applyAlignment="1">
      <alignment horizontal="center" vertical="center" shrinkToFit="1"/>
    </xf>
    <xf numFmtId="9" fontId="14" fillId="0" borderId="6" xfId="0" applyNumberFormat="1" applyFont="1" applyFill="1" applyBorder="1" applyAlignment="1">
      <alignment horizontal="center" vertical="center" shrinkToFit="1"/>
    </xf>
    <xf numFmtId="9" fontId="14" fillId="0" borderId="8" xfId="0" applyNumberFormat="1" applyFont="1" applyFill="1" applyBorder="1" applyAlignment="1">
      <alignment horizontal="center" vertical="center" shrinkToFit="1"/>
    </xf>
    <xf numFmtId="9" fontId="14" fillId="0" borderId="3" xfId="0" applyNumberFormat="1" applyFont="1" applyFill="1" applyBorder="1" applyAlignment="1">
      <alignment horizontal="center" vertical="center" shrinkToFit="1"/>
    </xf>
    <xf numFmtId="177" fontId="14" fillId="0" borderId="5" xfId="0" applyNumberFormat="1" applyFont="1" applyFill="1" applyBorder="1" applyAlignment="1">
      <alignment horizontal="center" vertical="center" shrinkToFit="1"/>
    </xf>
    <xf numFmtId="177" fontId="14" fillId="0" borderId="6" xfId="0" applyNumberFormat="1" applyFont="1" applyFill="1" applyBorder="1" applyAlignment="1">
      <alignment horizontal="center" vertical="center" shrinkToFit="1"/>
    </xf>
    <xf numFmtId="177" fontId="14" fillId="0" borderId="8" xfId="0" applyNumberFormat="1" applyFont="1" applyFill="1" applyBorder="1" applyAlignment="1">
      <alignment horizontal="center" vertical="center" shrinkToFit="1"/>
    </xf>
    <xf numFmtId="177" fontId="14" fillId="0" borderId="3" xfId="0" applyNumberFormat="1" applyFont="1" applyFill="1" applyBorder="1" applyAlignment="1">
      <alignment horizontal="center" vertical="center" shrinkToFit="1"/>
    </xf>
    <xf numFmtId="0" fontId="14" fillId="0" borderId="6" xfId="0" applyFont="1" applyBorder="1" applyAlignment="1">
      <alignment horizontal="center" vertical="center" shrinkToFit="1"/>
    </xf>
    <xf numFmtId="188" fontId="14" fillId="0" borderId="5" xfId="0" applyNumberFormat="1" applyFont="1" applyFill="1" applyBorder="1" applyAlignment="1">
      <alignment horizontal="center" vertical="center" shrinkToFit="1"/>
    </xf>
    <xf numFmtId="188" fontId="14" fillId="0" borderId="6" xfId="0" applyNumberFormat="1" applyFont="1" applyFill="1" applyBorder="1" applyAlignment="1">
      <alignment horizontal="center" vertical="center" shrinkToFit="1"/>
    </xf>
    <xf numFmtId="188" fontId="14" fillId="0" borderId="8" xfId="0" applyNumberFormat="1" applyFont="1" applyFill="1" applyBorder="1" applyAlignment="1">
      <alignment horizontal="center" vertical="center" shrinkToFit="1"/>
    </xf>
    <xf numFmtId="188" fontId="14" fillId="0" borderId="3" xfId="0" applyNumberFormat="1" applyFont="1" applyFill="1" applyBorder="1" applyAlignment="1">
      <alignment horizontal="center" vertical="center" shrinkToFit="1"/>
    </xf>
    <xf numFmtId="0" fontId="15" fillId="0" borderId="5" xfId="0" applyFont="1" applyFill="1" applyBorder="1" applyAlignment="1">
      <alignment horizontal="center" vertical="center" shrinkToFit="1"/>
    </xf>
    <xf numFmtId="0" fontId="15" fillId="0" borderId="6" xfId="0" applyFont="1" applyFill="1" applyBorder="1" applyAlignment="1">
      <alignment horizontal="center" vertical="center" shrinkToFit="1"/>
    </xf>
    <xf numFmtId="0" fontId="15" fillId="0" borderId="8" xfId="0" applyFont="1" applyFill="1" applyBorder="1" applyAlignment="1">
      <alignment horizontal="center" vertical="center" shrinkToFit="1"/>
    </xf>
    <xf numFmtId="0" fontId="15" fillId="0" borderId="3" xfId="0" applyFont="1" applyFill="1" applyBorder="1" applyAlignment="1">
      <alignment horizontal="center" vertical="center" shrinkToFit="1"/>
    </xf>
    <xf numFmtId="0" fontId="15" fillId="0" borderId="7" xfId="0" applyFont="1" applyFill="1" applyBorder="1" applyAlignment="1">
      <alignment horizontal="center" vertical="center" shrinkToFit="1"/>
    </xf>
    <xf numFmtId="0" fontId="15" fillId="0" borderId="4" xfId="0" applyFont="1" applyFill="1" applyBorder="1" applyAlignment="1">
      <alignment horizontal="center" vertical="center" shrinkToFit="1"/>
    </xf>
    <xf numFmtId="0" fontId="14" fillId="0" borderId="5" xfId="0" applyFont="1" applyBorder="1" applyAlignment="1">
      <alignment horizontal="center" vertical="center" shrinkToFit="1"/>
    </xf>
    <xf numFmtId="0" fontId="14" fillId="0" borderId="7" xfId="0" applyFont="1" applyBorder="1" applyAlignment="1">
      <alignment horizontal="center" vertical="center" shrinkToFit="1"/>
    </xf>
    <xf numFmtId="0" fontId="14" fillId="0" borderId="4" xfId="0" applyFont="1" applyBorder="1" applyAlignment="1">
      <alignment horizontal="center" vertical="center" shrinkToFit="1"/>
    </xf>
    <xf numFmtId="0" fontId="56" fillId="0" borderId="0" xfId="0" applyFont="1" applyFill="1" applyBorder="1" applyAlignment="1">
      <alignment horizontal="left" vertical="center"/>
    </xf>
    <xf numFmtId="0" fontId="56" fillId="0" borderId="3" xfId="0" applyFont="1" applyFill="1" applyBorder="1" applyAlignment="1">
      <alignment horizontal="left" vertical="center"/>
    </xf>
    <xf numFmtId="0" fontId="0" fillId="0" borderId="6" xfId="0" applyBorder="1" applyAlignment="1">
      <alignment vertical="center" shrinkToFit="1"/>
    </xf>
    <xf numFmtId="0" fontId="0" fillId="0" borderId="3" xfId="0" applyBorder="1" applyAlignment="1">
      <alignment vertical="center" shrinkToFit="1"/>
    </xf>
    <xf numFmtId="0" fontId="0" fillId="0" borderId="7" xfId="0" applyBorder="1" applyAlignment="1">
      <alignment vertical="center" shrinkToFit="1"/>
    </xf>
    <xf numFmtId="0" fontId="0" fillId="0" borderId="4" xfId="0" applyBorder="1" applyAlignment="1">
      <alignment vertical="center" shrinkToFit="1"/>
    </xf>
    <xf numFmtId="188" fontId="14" fillId="0" borderId="5" xfId="0" quotePrefix="1" applyNumberFormat="1" applyFont="1" applyFill="1" applyBorder="1" applyAlignment="1">
      <alignment horizontal="center" vertical="center" shrinkToFit="1"/>
    </xf>
    <xf numFmtId="188" fontId="14" fillId="0" borderId="6" xfId="0" quotePrefix="1" applyNumberFormat="1" applyFont="1" applyFill="1" applyBorder="1" applyAlignment="1">
      <alignment horizontal="center" vertical="center" shrinkToFit="1"/>
    </xf>
    <xf numFmtId="188" fontId="14" fillId="0" borderId="8" xfId="0" quotePrefix="1" applyNumberFormat="1" applyFont="1" applyFill="1" applyBorder="1" applyAlignment="1">
      <alignment horizontal="center" vertical="center" shrinkToFit="1"/>
    </xf>
    <xf numFmtId="188" fontId="14" fillId="0" borderId="3" xfId="0" quotePrefix="1" applyNumberFormat="1" applyFont="1" applyFill="1" applyBorder="1" applyAlignment="1">
      <alignment horizontal="center" vertical="center" shrinkToFit="1"/>
    </xf>
    <xf numFmtId="9" fontId="14" fillId="0" borderId="13" xfId="0" applyNumberFormat="1" applyFont="1" applyFill="1" applyBorder="1" applyAlignment="1">
      <alignment horizontal="center" vertical="center" shrinkToFit="1"/>
    </xf>
    <xf numFmtId="0" fontId="14" fillId="0" borderId="13" xfId="0" applyFont="1" applyFill="1" applyBorder="1" applyAlignment="1">
      <alignment horizontal="center" vertical="center" shrinkToFit="1"/>
    </xf>
    <xf numFmtId="0" fontId="14" fillId="0" borderId="13" xfId="0" applyFont="1" applyFill="1" applyBorder="1" applyAlignment="1">
      <alignment horizontal="left" vertical="center"/>
    </xf>
    <xf numFmtId="0" fontId="17" fillId="0" borderId="13" xfId="0" applyFont="1" applyFill="1" applyBorder="1" applyAlignment="1">
      <alignment horizontal="center" vertical="center" textRotation="255"/>
    </xf>
    <xf numFmtId="0" fontId="17" fillId="0" borderId="13" xfId="0" applyFont="1" applyFill="1" applyBorder="1" applyAlignment="1">
      <alignment horizontal="center" vertical="center"/>
    </xf>
    <xf numFmtId="0" fontId="18" fillId="0" borderId="13" xfId="0" applyFont="1" applyFill="1" applyBorder="1" applyAlignment="1">
      <alignment horizontal="center" vertical="center"/>
    </xf>
    <xf numFmtId="0" fontId="13" fillId="0" borderId="5" xfId="0" applyFont="1" applyFill="1" applyBorder="1" applyAlignment="1">
      <alignment horizontal="right" vertical="center" shrinkToFit="1"/>
    </xf>
    <xf numFmtId="0" fontId="13" fillId="0" borderId="6" xfId="0" applyFont="1" applyFill="1" applyBorder="1" applyAlignment="1">
      <alignment horizontal="right" vertical="center" shrinkToFit="1"/>
    </xf>
    <xf numFmtId="0" fontId="13" fillId="0" borderId="1" xfId="0" applyFont="1" applyFill="1" applyBorder="1" applyAlignment="1">
      <alignment horizontal="right" vertical="center" shrinkToFit="1"/>
    </xf>
    <xf numFmtId="0" fontId="13" fillId="0" borderId="0" xfId="0" applyFont="1" applyFill="1" applyBorder="1" applyAlignment="1">
      <alignment horizontal="right" vertical="center" shrinkToFit="1"/>
    </xf>
    <xf numFmtId="0" fontId="13" fillId="0" borderId="8" xfId="0" applyFont="1" applyFill="1" applyBorder="1" applyAlignment="1">
      <alignment horizontal="right" vertical="center" shrinkToFit="1"/>
    </xf>
    <xf numFmtId="0" fontId="13" fillId="0" borderId="3" xfId="0" applyFont="1" applyFill="1" applyBorder="1" applyAlignment="1">
      <alignment horizontal="right" vertical="center" shrinkToFit="1"/>
    </xf>
    <xf numFmtId="0" fontId="13" fillId="0" borderId="6" xfId="0" applyFont="1" applyFill="1" applyBorder="1" applyAlignment="1">
      <alignment horizontal="left" vertical="center"/>
    </xf>
    <xf numFmtId="0" fontId="13" fillId="0" borderId="7" xfId="0" applyFont="1" applyFill="1" applyBorder="1" applyAlignment="1">
      <alignment horizontal="left" vertical="center"/>
    </xf>
    <xf numFmtId="0" fontId="13" fillId="0" borderId="0" xfId="0" applyFont="1" applyFill="1" applyBorder="1" applyAlignment="1">
      <alignment horizontal="left" vertical="center"/>
    </xf>
    <xf numFmtId="0" fontId="13" fillId="0" borderId="2" xfId="0" applyFont="1" applyFill="1" applyBorder="1" applyAlignment="1">
      <alignment horizontal="left" vertical="center"/>
    </xf>
    <xf numFmtId="0" fontId="13" fillId="0" borderId="3" xfId="0" applyFont="1" applyFill="1" applyBorder="1" applyAlignment="1">
      <alignment horizontal="left" vertical="center"/>
    </xf>
    <xf numFmtId="0" fontId="13" fillId="0" borderId="4" xfId="0" applyFont="1" applyFill="1" applyBorder="1" applyAlignment="1">
      <alignment horizontal="left" vertical="center"/>
    </xf>
    <xf numFmtId="0" fontId="25" fillId="0" borderId="6" xfId="0" applyFont="1" applyFill="1" applyBorder="1" applyAlignment="1">
      <alignment horizontal="center" vertical="center" wrapText="1"/>
    </xf>
    <xf numFmtId="0" fontId="25" fillId="0" borderId="7" xfId="0" applyFont="1" applyFill="1" applyBorder="1" applyAlignment="1">
      <alignment horizontal="center" vertical="center" wrapText="1"/>
    </xf>
    <xf numFmtId="0" fontId="25" fillId="0" borderId="0" xfId="0" applyFont="1" applyFill="1" applyBorder="1" applyAlignment="1">
      <alignment horizontal="center" vertical="center" wrapText="1"/>
    </xf>
    <xf numFmtId="0" fontId="25" fillId="0" borderId="2" xfId="0" applyFont="1" applyFill="1" applyBorder="1" applyAlignment="1">
      <alignment horizontal="center" vertical="center" wrapText="1"/>
    </xf>
    <xf numFmtId="0" fontId="25" fillId="0" borderId="3" xfId="0" applyFont="1" applyFill="1" applyBorder="1" applyAlignment="1">
      <alignment horizontal="center" vertical="center" wrapText="1"/>
    </xf>
    <xf numFmtId="0" fontId="25" fillId="0" borderId="4" xfId="0" applyFont="1" applyFill="1" applyBorder="1" applyAlignment="1">
      <alignment horizontal="center" vertical="center" wrapText="1"/>
    </xf>
    <xf numFmtId="0" fontId="17" fillId="0" borderId="13" xfId="0" applyFont="1" applyFill="1" applyBorder="1" applyAlignment="1">
      <alignment horizontal="center" vertical="center" wrapText="1"/>
    </xf>
    <xf numFmtId="0" fontId="33" fillId="0" borderId="5" xfId="0" applyFont="1" applyBorder="1" applyAlignment="1">
      <alignment horizontal="center" vertical="center"/>
    </xf>
    <xf numFmtId="0" fontId="33" fillId="0" borderId="6" xfId="0" applyFont="1" applyBorder="1" applyAlignment="1">
      <alignment horizontal="center" vertical="center"/>
    </xf>
    <xf numFmtId="0" fontId="33" fillId="0" borderId="7" xfId="0" applyFont="1" applyBorder="1" applyAlignment="1">
      <alignment horizontal="center" vertical="center"/>
    </xf>
    <xf numFmtId="0" fontId="0" fillId="0" borderId="1" xfId="0" applyBorder="1" applyAlignment="1">
      <alignment horizontal="center" vertical="center"/>
    </xf>
    <xf numFmtId="0" fontId="0" fillId="0" borderId="0" xfId="0" applyBorder="1" applyAlignment="1">
      <alignment horizontal="center" vertical="center"/>
    </xf>
    <xf numFmtId="0" fontId="0" fillId="0" borderId="2" xfId="0" applyBorder="1" applyAlignment="1">
      <alignment horizontal="center" vertical="center"/>
    </xf>
    <xf numFmtId="0" fontId="0" fillId="0" borderId="0" xfId="0" applyBorder="1" applyAlignment="1">
      <alignment vertical="center" wrapText="1"/>
    </xf>
    <xf numFmtId="0" fontId="0" fillId="0" borderId="2" xfId="0" applyBorder="1" applyAlignment="1">
      <alignment vertical="center" wrapText="1"/>
    </xf>
    <xf numFmtId="0" fontId="0" fillId="0" borderId="0" xfId="0" applyBorder="1" applyAlignment="1">
      <alignment horizontal="left" vertical="center"/>
    </xf>
    <xf numFmtId="0" fontId="0" fillId="0" borderId="0" xfId="0" applyBorder="1" applyAlignment="1">
      <alignment horizontal="left" vertical="center" wrapText="1"/>
    </xf>
    <xf numFmtId="0" fontId="0" fillId="0" borderId="2" xfId="0" applyBorder="1" applyAlignment="1">
      <alignment horizontal="left" vertical="center" wrapText="1"/>
    </xf>
    <xf numFmtId="0" fontId="11" fillId="0" borderId="0" xfId="0" applyFont="1" applyBorder="1" applyAlignment="1">
      <alignment horizontal="center" vertical="center" textRotation="255" shrinkToFit="1"/>
    </xf>
    <xf numFmtId="0" fontId="0" fillId="0" borderId="0" xfId="0" applyAlignment="1">
      <alignment horizontal="center" vertical="center" textRotation="255"/>
    </xf>
    <xf numFmtId="0" fontId="0" fillId="0" borderId="0" xfId="0" applyBorder="1" applyAlignment="1">
      <alignment horizontal="center" vertical="center" textRotation="255"/>
    </xf>
    <xf numFmtId="0" fontId="4" fillId="0" borderId="0" xfId="0" applyFont="1" applyBorder="1" applyAlignment="1">
      <alignment horizontal="center" vertical="center"/>
    </xf>
    <xf numFmtId="0" fontId="58" fillId="4" borderId="25" xfId="0" applyFont="1" applyFill="1" applyBorder="1" applyAlignment="1">
      <alignment horizontal="center" vertical="center" shrinkToFit="1"/>
    </xf>
    <xf numFmtId="0" fontId="58" fillId="4" borderId="26" xfId="0" applyFont="1" applyFill="1" applyBorder="1" applyAlignment="1">
      <alignment horizontal="center" vertical="center" shrinkToFit="1"/>
    </xf>
    <xf numFmtId="0" fontId="58" fillId="4" borderId="28" xfId="0" applyFont="1" applyFill="1" applyBorder="1" applyAlignment="1">
      <alignment horizontal="center" vertical="center" shrinkToFit="1"/>
    </xf>
    <xf numFmtId="0" fontId="58" fillId="4" borderId="12" xfId="0" applyFont="1" applyFill="1" applyBorder="1" applyAlignment="1">
      <alignment horizontal="center" vertical="center" shrinkToFit="1"/>
    </xf>
    <xf numFmtId="0" fontId="58" fillId="4" borderId="0" xfId="0" applyFont="1" applyFill="1" applyBorder="1" applyAlignment="1">
      <alignment horizontal="center" vertical="center" shrinkToFit="1"/>
    </xf>
    <xf numFmtId="0" fontId="58" fillId="4" borderId="29" xfId="0" applyFont="1" applyFill="1" applyBorder="1" applyAlignment="1">
      <alignment horizontal="center" vertical="center" shrinkToFit="1"/>
    </xf>
    <xf numFmtId="0" fontId="40" fillId="7" borderId="27" xfId="0" applyFont="1" applyFill="1" applyBorder="1" applyAlignment="1">
      <alignment horizontal="center"/>
    </xf>
    <xf numFmtId="0" fontId="40" fillId="7" borderId="24" xfId="0" applyFont="1" applyFill="1" applyBorder="1" applyAlignment="1">
      <alignment horizontal="center"/>
    </xf>
    <xf numFmtId="0" fontId="39" fillId="0" borderId="24" xfId="0" applyFont="1" applyBorder="1" applyAlignment="1">
      <alignment horizontal="center" vertical="center" shrinkToFit="1"/>
    </xf>
    <xf numFmtId="177" fontId="63" fillId="6" borderId="25" xfId="0" applyNumberFormat="1" applyFont="1" applyFill="1" applyBorder="1" applyAlignment="1">
      <alignment horizontal="center" vertical="center" textRotation="255"/>
    </xf>
    <xf numFmtId="177" fontId="63" fillId="6" borderId="26" xfId="0" applyNumberFormat="1" applyFont="1" applyFill="1" applyBorder="1" applyAlignment="1">
      <alignment horizontal="center" vertical="center" textRotation="255"/>
    </xf>
    <xf numFmtId="177" fontId="63" fillId="6" borderId="12" xfId="0" applyNumberFormat="1" applyFont="1" applyFill="1" applyBorder="1" applyAlignment="1">
      <alignment horizontal="center" vertical="center" textRotation="255"/>
    </xf>
    <xf numFmtId="177" fontId="63" fillId="6" borderId="0" xfId="0" applyNumberFormat="1" applyFont="1" applyFill="1" applyBorder="1" applyAlignment="1">
      <alignment horizontal="center" vertical="center" textRotation="255"/>
    </xf>
    <xf numFmtId="177" fontId="63" fillId="6" borderId="10" xfId="0" applyNumberFormat="1" applyFont="1" applyFill="1" applyBorder="1" applyAlignment="1">
      <alignment horizontal="center" vertical="center" textRotation="255"/>
    </xf>
    <xf numFmtId="177" fontId="63" fillId="6" borderId="11" xfId="0" applyNumberFormat="1" applyFont="1" applyFill="1" applyBorder="1" applyAlignment="1">
      <alignment horizontal="center" vertical="center" textRotation="255"/>
    </xf>
    <xf numFmtId="0" fontId="67" fillId="6" borderId="24" xfId="0" applyFont="1" applyFill="1" applyBorder="1" applyAlignment="1">
      <alignment horizontal="center" vertical="center" textRotation="255"/>
    </xf>
    <xf numFmtId="0" fontId="63" fillId="6" borderId="24" xfId="0" applyFont="1" applyFill="1" applyBorder="1" applyAlignment="1">
      <alignment horizontal="center" vertical="center" textRotation="255"/>
    </xf>
    <xf numFmtId="0" fontId="45" fillId="7" borderId="32" xfId="0" applyFont="1" applyFill="1" applyBorder="1" applyAlignment="1">
      <alignment horizontal="left" vertical="center" shrinkToFit="1"/>
    </xf>
    <xf numFmtId="0" fontId="45" fillId="7" borderId="24" xfId="0" applyFont="1" applyFill="1" applyBorder="1" applyAlignment="1">
      <alignment horizontal="left" vertical="center" shrinkToFit="1"/>
    </xf>
    <xf numFmtId="0" fontId="45" fillId="7" borderId="31" xfId="0" applyFont="1" applyFill="1" applyBorder="1" applyAlignment="1">
      <alignment horizontal="left" vertical="center" shrinkToFit="1"/>
    </xf>
    <xf numFmtId="0" fontId="64" fillId="4" borderId="11" xfId="0" applyFont="1" applyFill="1" applyBorder="1" applyAlignment="1">
      <alignment horizontal="center" vertical="center" shrinkToFit="1"/>
    </xf>
    <xf numFmtId="0" fontId="64" fillId="4" borderId="11" xfId="0" applyFont="1" applyFill="1" applyBorder="1" applyAlignment="1">
      <alignment horizontal="left" vertical="center" shrinkToFit="1"/>
    </xf>
    <xf numFmtId="0" fontId="64" fillId="4" borderId="30" xfId="0" applyFont="1" applyFill="1" applyBorder="1" applyAlignment="1">
      <alignment horizontal="left" vertical="center" shrinkToFit="1"/>
    </xf>
    <xf numFmtId="0" fontId="40" fillId="7" borderId="25" xfId="0" applyFont="1" applyFill="1" applyBorder="1" applyAlignment="1">
      <alignment horizontal="center" vertical="center"/>
    </xf>
    <xf numFmtId="0" fontId="40" fillId="7" borderId="26" xfId="0" applyFont="1" applyFill="1" applyBorder="1" applyAlignment="1">
      <alignment horizontal="center" vertical="center"/>
    </xf>
    <xf numFmtId="0" fontId="40" fillId="7" borderId="28" xfId="0" applyFont="1" applyFill="1" applyBorder="1" applyAlignment="1">
      <alignment horizontal="center" vertical="center"/>
    </xf>
    <xf numFmtId="0" fontId="40" fillId="7" borderId="12" xfId="0" applyFont="1" applyFill="1" applyBorder="1" applyAlignment="1">
      <alignment horizontal="center" vertical="center"/>
    </xf>
    <xf numFmtId="0" fontId="40" fillId="7" borderId="0" xfId="0" applyFont="1" applyFill="1" applyBorder="1" applyAlignment="1">
      <alignment horizontal="center" vertical="center"/>
    </xf>
    <xf numFmtId="0" fontId="40" fillId="7" borderId="29" xfId="0" applyFont="1" applyFill="1" applyBorder="1" applyAlignment="1">
      <alignment horizontal="center" vertical="center"/>
    </xf>
    <xf numFmtId="0" fontId="40" fillId="7" borderId="10" xfId="0" applyFont="1" applyFill="1" applyBorder="1" applyAlignment="1">
      <alignment horizontal="center" vertical="center"/>
    </xf>
    <xf numFmtId="0" fontId="40" fillId="7" borderId="11" xfId="0" applyFont="1" applyFill="1" applyBorder="1" applyAlignment="1">
      <alignment horizontal="center" vertical="center"/>
    </xf>
    <xf numFmtId="0" fontId="40" fillId="7" borderId="30" xfId="0" applyFont="1" applyFill="1" applyBorder="1" applyAlignment="1">
      <alignment horizontal="center" vertical="center"/>
    </xf>
    <xf numFmtId="0" fontId="41" fillId="7" borderId="25" xfId="0" applyFont="1" applyFill="1" applyBorder="1" applyAlignment="1">
      <alignment horizontal="center" vertical="center" shrinkToFit="1"/>
    </xf>
    <xf numFmtId="0" fontId="41" fillId="7" borderId="26" xfId="0" applyFont="1" applyFill="1" applyBorder="1" applyAlignment="1">
      <alignment horizontal="center" vertical="center" shrinkToFit="1"/>
    </xf>
    <xf numFmtId="0" fontId="41" fillId="7" borderId="12" xfId="0" applyFont="1" applyFill="1" applyBorder="1" applyAlignment="1">
      <alignment horizontal="center" vertical="center" shrinkToFit="1"/>
    </xf>
    <xf numFmtId="0" fontId="41" fillId="7" borderId="0" xfId="0" applyFont="1" applyFill="1" applyBorder="1" applyAlignment="1">
      <alignment horizontal="center" vertical="center" shrinkToFit="1"/>
    </xf>
    <xf numFmtId="0" fontId="41" fillId="7" borderId="10" xfId="0" applyFont="1" applyFill="1" applyBorder="1" applyAlignment="1">
      <alignment horizontal="center" vertical="center" shrinkToFit="1"/>
    </xf>
    <xf numFmtId="0" fontId="41" fillId="7" borderId="11" xfId="0" applyFont="1" applyFill="1" applyBorder="1" applyAlignment="1">
      <alignment horizontal="center" vertical="center" shrinkToFit="1"/>
    </xf>
    <xf numFmtId="0" fontId="40" fillId="7" borderId="25" xfId="0" applyFont="1" applyFill="1" applyBorder="1" applyAlignment="1">
      <alignment horizontal="center" vertical="center" shrinkToFit="1"/>
    </xf>
    <xf numFmtId="0" fontId="40" fillId="7" borderId="26" xfId="0" applyFont="1" applyFill="1" applyBorder="1" applyAlignment="1">
      <alignment horizontal="center" vertical="center" shrinkToFit="1"/>
    </xf>
    <xf numFmtId="0" fontId="40" fillId="7" borderId="28" xfId="0" applyFont="1" applyFill="1" applyBorder="1" applyAlignment="1">
      <alignment horizontal="center" vertical="center" shrinkToFit="1"/>
    </xf>
    <xf numFmtId="0" fontId="40" fillId="7" borderId="12" xfId="0" applyFont="1" applyFill="1" applyBorder="1" applyAlignment="1">
      <alignment horizontal="center" vertical="center" shrinkToFit="1"/>
    </xf>
    <xf numFmtId="0" fontId="40" fillId="7" borderId="0" xfId="0" applyFont="1" applyFill="1" applyBorder="1" applyAlignment="1">
      <alignment horizontal="center" vertical="center" shrinkToFit="1"/>
    </xf>
    <xf numFmtId="0" fontId="40" fillId="7" borderId="29" xfId="0" applyFont="1" applyFill="1" applyBorder="1" applyAlignment="1">
      <alignment horizontal="center" vertical="center" shrinkToFit="1"/>
    </xf>
    <xf numFmtId="0" fontId="40" fillId="7" borderId="10" xfId="0" applyFont="1" applyFill="1" applyBorder="1" applyAlignment="1">
      <alignment horizontal="center" vertical="center" shrinkToFit="1"/>
    </xf>
    <xf numFmtId="0" fontId="40" fillId="7" borderId="11" xfId="0" applyFont="1" applyFill="1" applyBorder="1" applyAlignment="1">
      <alignment horizontal="center" vertical="center" shrinkToFit="1"/>
    </xf>
    <xf numFmtId="0" fontId="40" fillId="7" borderId="30" xfId="0" applyFont="1" applyFill="1" applyBorder="1" applyAlignment="1">
      <alignment horizontal="center" vertical="center" shrinkToFit="1"/>
    </xf>
    <xf numFmtId="0" fontId="39" fillId="0" borderId="24" xfId="0" applyFont="1" applyBorder="1" applyAlignment="1">
      <alignment horizontal="center" vertical="center"/>
    </xf>
    <xf numFmtId="176" fontId="42" fillId="7" borderId="25" xfId="0" applyNumberFormat="1" applyFont="1" applyFill="1" applyBorder="1" applyAlignment="1">
      <alignment horizontal="center" vertical="center" shrinkToFit="1"/>
    </xf>
    <xf numFmtId="176" fontId="42" fillId="7" borderId="26" xfId="0" applyNumberFormat="1" applyFont="1" applyFill="1" applyBorder="1" applyAlignment="1">
      <alignment horizontal="center" vertical="center" shrinkToFit="1"/>
    </xf>
    <xf numFmtId="176" fontId="42" fillId="7" borderId="12" xfId="0" applyNumberFormat="1" applyFont="1" applyFill="1" applyBorder="1" applyAlignment="1">
      <alignment horizontal="center" vertical="center" shrinkToFit="1"/>
    </xf>
    <xf numFmtId="176" fontId="42" fillId="7" borderId="0" xfId="0" applyNumberFormat="1" applyFont="1" applyFill="1" applyBorder="1" applyAlignment="1">
      <alignment horizontal="center" vertical="center" shrinkToFit="1"/>
    </xf>
    <xf numFmtId="176" fontId="42" fillId="7" borderId="10" xfId="0" applyNumberFormat="1" applyFont="1" applyFill="1" applyBorder="1" applyAlignment="1">
      <alignment horizontal="center" vertical="center" shrinkToFit="1"/>
    </xf>
    <xf numFmtId="176" fontId="42" fillId="7" borderId="11" xfId="0" applyNumberFormat="1" applyFont="1" applyFill="1" applyBorder="1" applyAlignment="1">
      <alignment horizontal="center" vertical="center" shrinkToFit="1"/>
    </xf>
    <xf numFmtId="0" fontId="63" fillId="6" borderId="25" xfId="0" applyFont="1" applyFill="1" applyBorder="1" applyAlignment="1">
      <alignment horizontal="center" vertical="center" textRotation="255"/>
    </xf>
    <xf numFmtId="0" fontId="63" fillId="6" borderId="26" xfId="0" applyFont="1" applyFill="1" applyBorder="1" applyAlignment="1">
      <alignment horizontal="center" vertical="center" textRotation="255"/>
    </xf>
    <xf numFmtId="0" fontId="63" fillId="6" borderId="12" xfId="0" applyFont="1" applyFill="1" applyBorder="1" applyAlignment="1">
      <alignment horizontal="center" vertical="center" textRotation="255"/>
    </xf>
    <xf numFmtId="0" fontId="63" fillId="6" borderId="0" xfId="0" applyFont="1" applyFill="1" applyBorder="1" applyAlignment="1">
      <alignment horizontal="center" vertical="center" textRotation="255"/>
    </xf>
    <xf numFmtId="0" fontId="63" fillId="6" borderId="10" xfId="0" applyFont="1" applyFill="1" applyBorder="1" applyAlignment="1">
      <alignment horizontal="center" vertical="center" textRotation="255"/>
    </xf>
    <xf numFmtId="0" fontId="63" fillId="6" borderId="11" xfId="0" applyFont="1" applyFill="1" applyBorder="1" applyAlignment="1">
      <alignment horizontal="center" vertical="center" textRotation="255"/>
    </xf>
    <xf numFmtId="0" fontId="45" fillId="7" borderId="24" xfId="0" applyFont="1" applyFill="1" applyBorder="1" applyAlignment="1">
      <alignment horizontal="left" vertical="center"/>
    </xf>
    <xf numFmtId="0" fontId="45" fillId="7" borderId="31" xfId="0" applyFont="1" applyFill="1" applyBorder="1" applyAlignment="1">
      <alignment horizontal="left" vertical="center"/>
    </xf>
    <xf numFmtId="0" fontId="45" fillId="7" borderId="32" xfId="0" applyFont="1" applyFill="1" applyBorder="1" applyAlignment="1">
      <alignment horizontal="left" vertical="center"/>
    </xf>
    <xf numFmtId="0" fontId="60" fillId="4" borderId="25" xfId="0" applyFont="1" applyFill="1" applyBorder="1" applyAlignment="1">
      <alignment horizontal="center" vertical="center"/>
    </xf>
    <xf numFmtId="0" fontId="60" fillId="4" borderId="26" xfId="0" applyFont="1" applyFill="1" applyBorder="1" applyAlignment="1">
      <alignment horizontal="center" vertical="center"/>
    </xf>
    <xf numFmtId="0" fontId="60" fillId="4" borderId="28" xfId="0" applyFont="1" applyFill="1" applyBorder="1" applyAlignment="1">
      <alignment horizontal="center" vertical="center"/>
    </xf>
    <xf numFmtId="0" fontId="60" fillId="4" borderId="12" xfId="0" applyFont="1" applyFill="1" applyBorder="1" applyAlignment="1">
      <alignment horizontal="center" vertical="center"/>
    </xf>
    <xf numFmtId="0" fontId="60" fillId="4" borderId="0" xfId="0" applyFont="1" applyFill="1" applyBorder="1" applyAlignment="1">
      <alignment horizontal="center" vertical="center"/>
    </xf>
    <xf numFmtId="0" fontId="60" fillId="4" borderId="29" xfId="0" applyFont="1" applyFill="1" applyBorder="1" applyAlignment="1">
      <alignment horizontal="center" vertical="center"/>
    </xf>
    <xf numFmtId="179" fontId="46" fillId="7" borderId="25" xfId="0" applyNumberFormat="1" applyFont="1" applyFill="1" applyBorder="1" applyAlignment="1">
      <alignment horizontal="center" vertical="center"/>
    </xf>
    <xf numFmtId="179" fontId="46" fillId="7" borderId="26" xfId="0" applyNumberFormat="1" applyFont="1" applyFill="1" applyBorder="1" applyAlignment="1">
      <alignment horizontal="center" vertical="center"/>
    </xf>
    <xf numFmtId="179" fontId="46" fillId="7" borderId="12" xfId="0" applyNumberFormat="1" applyFont="1" applyFill="1" applyBorder="1" applyAlignment="1">
      <alignment horizontal="center" vertical="center"/>
    </xf>
    <xf numFmtId="179" fontId="46" fillId="7" borderId="0" xfId="0" applyNumberFormat="1" applyFont="1" applyFill="1" applyBorder="1" applyAlignment="1">
      <alignment horizontal="center" vertical="center"/>
    </xf>
    <xf numFmtId="179" fontId="46" fillId="7" borderId="10" xfId="0" applyNumberFormat="1" applyFont="1" applyFill="1" applyBorder="1" applyAlignment="1">
      <alignment horizontal="center" vertical="center"/>
    </xf>
    <xf numFmtId="179" fontId="46" fillId="7" borderId="11" xfId="0" applyNumberFormat="1" applyFont="1" applyFill="1" applyBorder="1" applyAlignment="1">
      <alignment horizontal="center" vertical="center"/>
    </xf>
    <xf numFmtId="0" fontId="40" fillId="7" borderId="27" xfId="0" applyFont="1" applyFill="1" applyBorder="1" applyAlignment="1">
      <alignment horizontal="center" vertical="center"/>
    </xf>
    <xf numFmtId="0" fontId="40" fillId="7" borderId="24" xfId="0" applyFont="1" applyFill="1" applyBorder="1" applyAlignment="1">
      <alignment horizontal="center" vertical="center"/>
    </xf>
    <xf numFmtId="0" fontId="64" fillId="4" borderId="11" xfId="0" applyFont="1" applyFill="1" applyBorder="1" applyAlignment="1">
      <alignment horizontal="center" vertical="center"/>
    </xf>
    <xf numFmtId="0" fontId="64" fillId="4" borderId="30" xfId="0" applyFont="1" applyFill="1" applyBorder="1" applyAlignment="1">
      <alignment horizontal="center" vertical="center"/>
    </xf>
    <xf numFmtId="0" fontId="65" fillId="6" borderId="25" xfId="0" applyFont="1" applyFill="1" applyBorder="1" applyAlignment="1">
      <alignment horizontal="center" vertical="center" textRotation="255"/>
    </xf>
    <xf numFmtId="0" fontId="65" fillId="6" borderId="26" xfId="0" applyFont="1" applyFill="1" applyBorder="1" applyAlignment="1">
      <alignment horizontal="center" vertical="center" textRotation="255"/>
    </xf>
    <xf numFmtId="0" fontId="65" fillId="6" borderId="12" xfId="0" applyFont="1" applyFill="1" applyBorder="1" applyAlignment="1">
      <alignment horizontal="center" vertical="center" textRotation="255"/>
    </xf>
    <xf numFmtId="0" fontId="65" fillId="6" borderId="0" xfId="0" applyFont="1" applyFill="1" applyBorder="1" applyAlignment="1">
      <alignment horizontal="center" vertical="center" textRotation="255"/>
    </xf>
    <xf numFmtId="0" fontId="65" fillId="6" borderId="10" xfId="0" applyFont="1" applyFill="1" applyBorder="1" applyAlignment="1">
      <alignment horizontal="center" vertical="center" textRotation="255"/>
    </xf>
    <xf numFmtId="0" fontId="65" fillId="6" borderId="11" xfId="0" applyFont="1" applyFill="1" applyBorder="1" applyAlignment="1">
      <alignment horizontal="center" vertical="center" textRotation="255"/>
    </xf>
    <xf numFmtId="0" fontId="23" fillId="7" borderId="27" xfId="0" applyFont="1" applyFill="1" applyBorder="1" applyAlignment="1">
      <alignment horizontal="center" vertical="center"/>
    </xf>
    <xf numFmtId="0" fontId="23" fillId="7" borderId="24" xfId="0" applyFont="1" applyFill="1" applyBorder="1" applyAlignment="1">
      <alignment horizontal="center" vertical="center"/>
    </xf>
    <xf numFmtId="177" fontId="65" fillId="6" borderId="25" xfId="0" applyNumberFormat="1" applyFont="1" applyFill="1" applyBorder="1" applyAlignment="1">
      <alignment horizontal="center" vertical="center" textRotation="255"/>
    </xf>
    <xf numFmtId="177" fontId="65" fillId="6" borderId="26" xfId="0" applyNumberFormat="1" applyFont="1" applyFill="1" applyBorder="1" applyAlignment="1">
      <alignment horizontal="center" vertical="center" textRotation="255"/>
    </xf>
    <xf numFmtId="177" fontId="65" fillId="6" borderId="12" xfId="0" applyNumberFormat="1" applyFont="1" applyFill="1" applyBorder="1" applyAlignment="1">
      <alignment horizontal="center" vertical="center" textRotation="255"/>
    </xf>
    <xf numFmtId="177" fontId="65" fillId="6" borderId="0" xfId="0" applyNumberFormat="1" applyFont="1" applyFill="1" applyBorder="1" applyAlignment="1">
      <alignment horizontal="center" vertical="center" textRotation="255"/>
    </xf>
    <xf numFmtId="177" fontId="65" fillId="6" borderId="10" xfId="0" applyNumberFormat="1" applyFont="1" applyFill="1" applyBorder="1" applyAlignment="1">
      <alignment horizontal="center" vertical="center" textRotation="255"/>
    </xf>
    <xf numFmtId="177" fontId="65" fillId="6" borderId="11" xfId="0" applyNumberFormat="1" applyFont="1" applyFill="1" applyBorder="1" applyAlignment="1">
      <alignment horizontal="center" vertical="center" textRotation="255"/>
    </xf>
    <xf numFmtId="49" fontId="22" fillId="7" borderId="24" xfId="0" applyNumberFormat="1" applyFont="1" applyFill="1" applyBorder="1" applyAlignment="1">
      <alignment horizontal="center" vertical="center"/>
    </xf>
    <xf numFmtId="0" fontId="22" fillId="7" borderId="24" xfId="0" applyFont="1" applyFill="1" applyBorder="1" applyAlignment="1">
      <alignment horizontal="center" vertical="center"/>
    </xf>
    <xf numFmtId="0" fontId="66" fillId="6" borderId="24" xfId="0" applyFont="1" applyFill="1" applyBorder="1" applyAlignment="1">
      <alignment horizontal="center" vertical="center" textRotation="255"/>
    </xf>
    <xf numFmtId="0" fontId="38" fillId="7" borderId="25" xfId="0" applyFont="1" applyFill="1" applyBorder="1" applyAlignment="1">
      <alignment horizontal="center" vertical="center"/>
    </xf>
    <xf numFmtId="0" fontId="38" fillId="7" borderId="26" xfId="0" applyFont="1" applyFill="1" applyBorder="1" applyAlignment="1">
      <alignment horizontal="center" vertical="center"/>
    </xf>
    <xf numFmtId="0" fontId="38" fillId="7" borderId="12" xfId="0" applyFont="1" applyFill="1" applyBorder="1" applyAlignment="1">
      <alignment horizontal="center" vertical="center"/>
    </xf>
    <xf numFmtId="0" fontId="38" fillId="7" borderId="0" xfId="0" applyFont="1" applyFill="1" applyBorder="1" applyAlignment="1">
      <alignment horizontal="center" vertical="center"/>
    </xf>
    <xf numFmtId="0" fontId="38" fillId="7" borderId="10" xfId="0" applyFont="1" applyFill="1" applyBorder="1" applyAlignment="1">
      <alignment horizontal="center" vertical="center"/>
    </xf>
    <xf numFmtId="0" fontId="38" fillId="7" borderId="11" xfId="0" applyFont="1" applyFill="1" applyBorder="1" applyAlignment="1">
      <alignment horizontal="center" vertical="center"/>
    </xf>
    <xf numFmtId="179" fontId="46" fillId="7" borderId="25" xfId="0" applyNumberFormat="1" applyFont="1" applyFill="1" applyBorder="1" applyAlignment="1">
      <alignment horizontal="center" vertical="center" shrinkToFit="1"/>
    </xf>
    <xf numFmtId="179" fontId="46" fillId="7" borderId="26" xfId="0" applyNumberFormat="1" applyFont="1" applyFill="1" applyBorder="1" applyAlignment="1">
      <alignment horizontal="center" vertical="center" shrinkToFit="1"/>
    </xf>
    <xf numFmtId="179" fontId="46" fillId="7" borderId="12" xfId="0" applyNumberFormat="1" applyFont="1" applyFill="1" applyBorder="1" applyAlignment="1">
      <alignment horizontal="center" vertical="center" shrinkToFit="1"/>
    </xf>
    <xf numFmtId="179" fontId="46" fillId="7" borderId="0" xfId="0" applyNumberFormat="1" applyFont="1" applyFill="1" applyBorder="1" applyAlignment="1">
      <alignment horizontal="center" vertical="center" shrinkToFit="1"/>
    </xf>
    <xf numFmtId="179" fontId="46" fillId="7" borderId="10" xfId="0" applyNumberFormat="1" applyFont="1" applyFill="1" applyBorder="1" applyAlignment="1">
      <alignment horizontal="center" vertical="center" shrinkToFit="1"/>
    </xf>
    <xf numFmtId="179" fontId="46" fillId="7" borderId="11" xfId="0" applyNumberFormat="1" applyFont="1" applyFill="1" applyBorder="1" applyAlignment="1">
      <alignment horizontal="center" vertical="center" shrinkToFit="1"/>
    </xf>
    <xf numFmtId="0" fontId="43" fillId="7" borderId="25" xfId="0" applyFont="1" applyFill="1" applyBorder="1" applyAlignment="1">
      <alignment horizontal="center" vertical="center"/>
    </xf>
    <xf numFmtId="0" fontId="43" fillId="7" borderId="26" xfId="0" applyFont="1" applyFill="1" applyBorder="1" applyAlignment="1">
      <alignment horizontal="center" vertical="center"/>
    </xf>
    <xf numFmtId="0" fontId="43" fillId="7" borderId="28" xfId="0" applyFont="1" applyFill="1" applyBorder="1" applyAlignment="1">
      <alignment horizontal="center" vertical="center"/>
    </xf>
    <xf numFmtId="0" fontId="43" fillId="7" borderId="12" xfId="0" applyFont="1" applyFill="1" applyBorder="1" applyAlignment="1">
      <alignment horizontal="center" vertical="center"/>
    </xf>
    <xf numFmtId="0" fontId="43" fillId="7" borderId="0" xfId="0" applyFont="1" applyFill="1" applyBorder="1" applyAlignment="1">
      <alignment horizontal="center" vertical="center"/>
    </xf>
    <xf numFmtId="0" fontId="43" fillId="7" borderId="29" xfId="0" applyFont="1" applyFill="1" applyBorder="1" applyAlignment="1">
      <alignment horizontal="center" vertical="center"/>
    </xf>
    <xf numFmtId="0" fontId="43" fillId="7" borderId="10" xfId="0" applyFont="1" applyFill="1" applyBorder="1" applyAlignment="1">
      <alignment horizontal="center" vertical="center"/>
    </xf>
    <xf numFmtId="0" fontId="43" fillId="7" borderId="11" xfId="0" applyFont="1" applyFill="1" applyBorder="1" applyAlignment="1">
      <alignment horizontal="center" vertical="center"/>
    </xf>
    <xf numFmtId="0" fontId="43" fillId="7" borderId="30" xfId="0" applyFont="1" applyFill="1" applyBorder="1" applyAlignment="1">
      <alignment horizontal="center" vertical="center"/>
    </xf>
    <xf numFmtId="176" fontId="34" fillId="7" borderId="25" xfId="0" applyNumberFormat="1" applyFont="1" applyFill="1" applyBorder="1" applyAlignment="1">
      <alignment horizontal="center" vertical="center"/>
    </xf>
    <xf numFmtId="176" fontId="34" fillId="7" borderId="26" xfId="0" applyNumberFormat="1" applyFont="1" applyFill="1" applyBorder="1" applyAlignment="1">
      <alignment horizontal="center" vertical="center"/>
    </xf>
    <xf numFmtId="176" fontId="34" fillId="7" borderId="12" xfId="0" applyNumberFormat="1" applyFont="1" applyFill="1" applyBorder="1" applyAlignment="1">
      <alignment horizontal="center" vertical="center"/>
    </xf>
    <xf numFmtId="176" fontId="34" fillId="7" borderId="0" xfId="0" applyNumberFormat="1" applyFont="1" applyFill="1" applyBorder="1" applyAlignment="1">
      <alignment horizontal="center" vertical="center"/>
    </xf>
    <xf numFmtId="176" fontId="34" fillId="7" borderId="10" xfId="0" applyNumberFormat="1" applyFont="1" applyFill="1" applyBorder="1" applyAlignment="1">
      <alignment horizontal="center" vertical="center"/>
    </xf>
    <xf numFmtId="176" fontId="34" fillId="7" borderId="11" xfId="0" applyNumberFormat="1" applyFont="1" applyFill="1" applyBorder="1" applyAlignment="1">
      <alignment horizontal="center" vertical="center"/>
    </xf>
    <xf numFmtId="49" fontId="44" fillId="7" borderId="24" xfId="0" applyNumberFormat="1" applyFont="1" applyFill="1" applyBorder="1" applyAlignment="1">
      <alignment horizontal="center" vertical="center" shrinkToFit="1"/>
    </xf>
    <xf numFmtId="0" fontId="44" fillId="7" borderId="24" xfId="0" applyFont="1" applyFill="1" applyBorder="1" applyAlignment="1">
      <alignment horizontal="center" vertical="center" shrinkToFit="1"/>
    </xf>
    <xf numFmtId="179" fontId="42" fillId="7" borderId="24" xfId="0" applyNumberFormat="1" applyFont="1" applyFill="1" applyBorder="1" applyAlignment="1">
      <alignment horizontal="center" vertical="center" shrinkToFit="1"/>
    </xf>
    <xf numFmtId="179" fontId="42" fillId="7" borderId="33" xfId="0" applyNumberFormat="1" applyFont="1" applyFill="1" applyBorder="1" applyAlignment="1">
      <alignment horizontal="center" vertical="center" shrinkToFit="1"/>
    </xf>
    <xf numFmtId="0" fontId="55" fillId="7" borderId="12" xfId="0" applyFont="1" applyFill="1" applyBorder="1" applyAlignment="1">
      <alignment horizontal="left" vertical="center" shrinkToFit="1"/>
    </xf>
    <xf numFmtId="0" fontId="55" fillId="7" borderId="0" xfId="0" applyFont="1" applyFill="1" applyBorder="1" applyAlignment="1">
      <alignment horizontal="left" vertical="center" shrinkToFit="1"/>
    </xf>
    <xf numFmtId="0" fontId="55" fillId="7" borderId="29" xfId="0" applyFont="1" applyFill="1" applyBorder="1" applyAlignment="1">
      <alignment horizontal="left" vertical="center" shrinkToFit="1"/>
    </xf>
    <xf numFmtId="0" fontId="55" fillId="7" borderId="10" xfId="0" applyFont="1" applyFill="1" applyBorder="1" applyAlignment="1">
      <alignment horizontal="left" vertical="center" shrinkToFit="1"/>
    </xf>
    <xf numFmtId="0" fontId="55" fillId="7" borderId="11" xfId="0" applyFont="1" applyFill="1" applyBorder="1" applyAlignment="1">
      <alignment horizontal="left" vertical="center" shrinkToFit="1"/>
    </xf>
    <xf numFmtId="0" fontId="55" fillId="7" borderId="30" xfId="0" applyFont="1" applyFill="1" applyBorder="1" applyAlignment="1">
      <alignment horizontal="left" vertical="center" shrinkToFit="1"/>
    </xf>
    <xf numFmtId="176" fontId="42" fillId="7" borderId="28" xfId="0" applyNumberFormat="1" applyFont="1" applyFill="1" applyBorder="1" applyAlignment="1">
      <alignment horizontal="center" vertical="center" shrinkToFit="1"/>
    </xf>
    <xf numFmtId="176" fontId="42" fillId="7" borderId="29" xfId="0" applyNumberFormat="1" applyFont="1" applyFill="1" applyBorder="1" applyAlignment="1">
      <alignment horizontal="center" vertical="center" shrinkToFit="1"/>
    </xf>
    <xf numFmtId="176" fontId="42" fillId="7" borderId="30" xfId="0" applyNumberFormat="1" applyFont="1" applyFill="1" applyBorder="1" applyAlignment="1">
      <alignment horizontal="center" vertical="center" shrinkToFit="1"/>
    </xf>
    <xf numFmtId="177" fontId="63" fillId="6" borderId="24" xfId="0" applyNumberFormat="1" applyFont="1" applyFill="1" applyBorder="1" applyAlignment="1">
      <alignment horizontal="center" vertical="center" textRotation="255"/>
    </xf>
    <xf numFmtId="0" fontId="40" fillId="7" borderId="24" xfId="0" applyFont="1" applyFill="1" applyBorder="1" applyAlignment="1">
      <alignment horizontal="center" vertical="center" shrinkToFit="1"/>
    </xf>
    <xf numFmtId="0" fontId="63" fillId="6" borderId="29" xfId="0" applyFont="1" applyFill="1" applyBorder="1" applyAlignment="1">
      <alignment horizontal="center" vertical="center" textRotation="255"/>
    </xf>
    <xf numFmtId="0" fontId="63" fillId="6" borderId="30" xfId="0" applyFont="1" applyFill="1" applyBorder="1" applyAlignment="1">
      <alignment horizontal="center" vertical="center" textRotation="255"/>
    </xf>
    <xf numFmtId="0" fontId="68" fillId="4" borderId="25" xfId="0" applyFont="1" applyFill="1" applyBorder="1" applyAlignment="1">
      <alignment horizontal="center" vertical="center" shrinkToFit="1"/>
    </xf>
    <xf numFmtId="0" fontId="68" fillId="4" borderId="26" xfId="0" applyFont="1" applyFill="1" applyBorder="1" applyAlignment="1">
      <alignment horizontal="center" vertical="center" shrinkToFit="1"/>
    </xf>
    <xf numFmtId="0" fontId="68" fillId="4" borderId="28" xfId="0" applyFont="1" applyFill="1" applyBorder="1" applyAlignment="1">
      <alignment horizontal="center" vertical="center" shrinkToFit="1"/>
    </xf>
    <xf numFmtId="0" fontId="68" fillId="4" borderId="12" xfId="0" applyFont="1" applyFill="1" applyBorder="1" applyAlignment="1">
      <alignment horizontal="center" vertical="center" shrinkToFit="1"/>
    </xf>
    <xf numFmtId="0" fontId="68" fillId="4" borderId="0" xfId="0" applyFont="1" applyFill="1" applyBorder="1" applyAlignment="1">
      <alignment horizontal="center" vertical="center" shrinkToFit="1"/>
    </xf>
    <xf numFmtId="0" fontId="68" fillId="4" borderId="29" xfId="0" applyFont="1" applyFill="1" applyBorder="1" applyAlignment="1">
      <alignment horizontal="center" vertical="center" shrinkToFit="1"/>
    </xf>
    <xf numFmtId="0" fontId="64" fillId="4" borderId="0" xfId="0" applyFont="1" applyFill="1" applyBorder="1" applyAlignment="1">
      <alignment horizontal="center" vertical="center" shrinkToFit="1"/>
    </xf>
    <xf numFmtId="0" fontId="64" fillId="4" borderId="0" xfId="0" applyFont="1" applyFill="1" applyBorder="1" applyAlignment="1">
      <alignment horizontal="left" vertical="center" shrinkToFit="1"/>
    </xf>
    <xf numFmtId="0" fontId="64" fillId="4" borderId="29" xfId="0" applyFont="1" applyFill="1" applyBorder="1" applyAlignment="1">
      <alignment horizontal="left" vertical="center" shrinkToFit="1"/>
    </xf>
    <xf numFmtId="0" fontId="54" fillId="7" borderId="24" xfId="0" applyFont="1" applyFill="1" applyBorder="1" applyAlignment="1">
      <alignment horizontal="center" vertical="center" shrinkToFit="1"/>
    </xf>
    <xf numFmtId="0" fontId="54" fillId="7" borderId="33" xfId="0" applyFont="1" applyFill="1" applyBorder="1" applyAlignment="1">
      <alignment horizontal="center" vertical="center" shrinkToFit="1"/>
    </xf>
    <xf numFmtId="176" fontId="41" fillId="7" borderId="24" xfId="0" applyNumberFormat="1" applyFont="1" applyFill="1" applyBorder="1" applyAlignment="1">
      <alignment horizontal="center" vertical="center" shrinkToFit="1"/>
    </xf>
    <xf numFmtId="176" fontId="41" fillId="7" borderId="33" xfId="0" applyNumberFormat="1" applyFont="1" applyFill="1" applyBorder="1" applyAlignment="1">
      <alignment horizontal="center" vertical="center" shrinkToFit="1"/>
    </xf>
    <xf numFmtId="0" fontId="0" fillId="2" borderId="0" xfId="0" quotePrefix="1" applyFill="1">
      <alignment vertical="center"/>
    </xf>
    <xf numFmtId="0" fontId="0" fillId="2" borderId="0" xfId="0" quotePrefix="1" applyFont="1" applyFill="1" applyAlignment="1">
      <alignment horizontal="left" vertical="center"/>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8</xdr:col>
      <xdr:colOff>66675</xdr:colOff>
      <xdr:row>17</xdr:row>
      <xdr:rowOff>85725</xdr:rowOff>
    </xdr:from>
    <xdr:to>
      <xdr:col>43</xdr:col>
      <xdr:colOff>95250</xdr:colOff>
      <xdr:row>23</xdr:row>
      <xdr:rowOff>76200</xdr:rowOff>
    </xdr:to>
    <xdr:grpSp>
      <xdr:nvGrpSpPr>
        <xdr:cNvPr id="3706" name="Group 8"/>
        <xdr:cNvGrpSpPr>
          <a:grpSpLocks/>
        </xdr:cNvGrpSpPr>
      </xdr:nvGrpSpPr>
      <xdr:grpSpPr bwMode="auto">
        <a:xfrm>
          <a:off x="1285875" y="2676525"/>
          <a:ext cx="5362575" cy="904875"/>
          <a:chOff x="111" y="251"/>
          <a:chExt cx="458" cy="77"/>
        </a:xfrm>
      </xdr:grpSpPr>
      <xdr:pic>
        <xdr:nvPicPr>
          <xdr:cNvPr id="3716" name="Picture 6"/>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 y="256"/>
            <a:ext cx="89" cy="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3079" name="Text Box 7"/>
          <xdr:cNvSpPr txBox="1">
            <a:spLocks noChangeArrowheads="1"/>
          </xdr:cNvSpPr>
        </xdr:nvSpPr>
        <xdr:spPr bwMode="auto">
          <a:xfrm>
            <a:off x="212" y="251"/>
            <a:ext cx="357" cy="77"/>
          </a:xfrm>
          <a:prstGeom prst="rect">
            <a:avLst/>
          </a:prstGeom>
          <a:solidFill>
            <a:srgbClr val="FFFFFF"/>
          </a:solidFill>
          <a:ln w="9525">
            <a:noFill/>
            <a:miter lim="800000"/>
            <a:headEnd/>
            <a:tailEnd/>
          </a:ln>
        </xdr:spPr>
        <xdr:txBody>
          <a:bodyPr vertOverflow="clip" wrap="square" lIns="45720" tIns="45720" rIns="0" bIns="0" anchor="t" upright="1"/>
          <a:lstStyle/>
          <a:p>
            <a:pPr algn="l" rtl="0">
              <a:defRPr sz="1000"/>
            </a:pPr>
            <a:r>
              <a:rPr lang="zh-TW" altLang="en-US" sz="3600" b="0" i="0" u="none" strike="noStrike" baseline="0">
                <a:solidFill>
                  <a:srgbClr val="000000"/>
                </a:solidFill>
                <a:latin typeface="標楷體"/>
                <a:ea typeface="標楷體"/>
              </a:rPr>
              <a:t>不動產說明書</a:t>
            </a:r>
          </a:p>
        </xdr:txBody>
      </xdr:sp>
    </xdr:grpSp>
    <xdr:clientData/>
  </xdr:twoCellAnchor>
  <xdr:twoCellAnchor>
    <xdr:from>
      <xdr:col>8</xdr:col>
      <xdr:colOff>66675</xdr:colOff>
      <xdr:row>17</xdr:row>
      <xdr:rowOff>85725</xdr:rowOff>
    </xdr:from>
    <xdr:to>
      <xdr:col>46</xdr:col>
      <xdr:colOff>123825</xdr:colOff>
      <xdr:row>23</xdr:row>
      <xdr:rowOff>76200</xdr:rowOff>
    </xdr:to>
    <xdr:grpSp>
      <xdr:nvGrpSpPr>
        <xdr:cNvPr id="3707" name="Group 13"/>
        <xdr:cNvGrpSpPr>
          <a:grpSpLocks/>
        </xdr:cNvGrpSpPr>
      </xdr:nvGrpSpPr>
      <xdr:grpSpPr bwMode="auto">
        <a:xfrm>
          <a:off x="1285875" y="2676525"/>
          <a:ext cx="5848350" cy="904875"/>
          <a:chOff x="111" y="251"/>
          <a:chExt cx="458" cy="77"/>
        </a:xfrm>
      </xdr:grpSpPr>
      <xdr:pic>
        <xdr:nvPicPr>
          <xdr:cNvPr id="3714" name="Picture 14"/>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1" y="256"/>
            <a:ext cx="89" cy="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3087" name="Text Box 15"/>
          <xdr:cNvSpPr txBox="1">
            <a:spLocks noChangeArrowheads="1"/>
          </xdr:cNvSpPr>
        </xdr:nvSpPr>
        <xdr:spPr bwMode="auto">
          <a:xfrm>
            <a:off x="212" y="251"/>
            <a:ext cx="357" cy="77"/>
          </a:xfrm>
          <a:prstGeom prst="rect">
            <a:avLst/>
          </a:prstGeom>
          <a:solidFill>
            <a:srgbClr val="FFFFFF"/>
          </a:solidFill>
          <a:ln w="9525">
            <a:noFill/>
            <a:miter lim="800000"/>
            <a:headEnd/>
            <a:tailEnd/>
          </a:ln>
        </xdr:spPr>
        <xdr:txBody>
          <a:bodyPr vertOverflow="clip" wrap="square" lIns="91440" tIns="96012" rIns="0" bIns="0" anchor="t" upright="1"/>
          <a:lstStyle/>
          <a:p>
            <a:pPr algn="l" rtl="0">
              <a:defRPr sz="1000"/>
            </a:pPr>
            <a:r>
              <a:rPr lang="zh-TW" altLang="en-US" sz="4800" b="1" i="0" u="none" strike="noStrike" baseline="0">
                <a:solidFill>
                  <a:srgbClr val="000000"/>
                </a:solidFill>
                <a:latin typeface="標楷體"/>
                <a:ea typeface="標楷體"/>
              </a:rPr>
              <a:t>不動產說明書</a:t>
            </a:r>
          </a:p>
        </xdr:txBody>
      </xdr:sp>
    </xdr:grpSp>
    <xdr:clientData/>
  </xdr:twoCellAnchor>
  <xdr:twoCellAnchor>
    <xdr:from>
      <xdr:col>8</xdr:col>
      <xdr:colOff>66675</xdr:colOff>
      <xdr:row>17</xdr:row>
      <xdr:rowOff>85725</xdr:rowOff>
    </xdr:from>
    <xdr:to>
      <xdr:col>43</xdr:col>
      <xdr:colOff>95250</xdr:colOff>
      <xdr:row>23</xdr:row>
      <xdr:rowOff>76200</xdr:rowOff>
    </xdr:to>
    <xdr:grpSp>
      <xdr:nvGrpSpPr>
        <xdr:cNvPr id="3708" name="Group 16"/>
        <xdr:cNvGrpSpPr>
          <a:grpSpLocks/>
        </xdr:cNvGrpSpPr>
      </xdr:nvGrpSpPr>
      <xdr:grpSpPr bwMode="auto">
        <a:xfrm>
          <a:off x="1285875" y="2676525"/>
          <a:ext cx="5362575" cy="904875"/>
          <a:chOff x="111" y="251"/>
          <a:chExt cx="458" cy="77"/>
        </a:xfrm>
      </xdr:grpSpPr>
      <xdr:pic>
        <xdr:nvPicPr>
          <xdr:cNvPr id="3712" name="Picture 17"/>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 y="256"/>
            <a:ext cx="89" cy="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3090" name="Text Box 18"/>
          <xdr:cNvSpPr txBox="1">
            <a:spLocks noChangeArrowheads="1"/>
          </xdr:cNvSpPr>
        </xdr:nvSpPr>
        <xdr:spPr bwMode="auto">
          <a:xfrm>
            <a:off x="212" y="251"/>
            <a:ext cx="357" cy="77"/>
          </a:xfrm>
          <a:prstGeom prst="rect">
            <a:avLst/>
          </a:prstGeom>
          <a:solidFill>
            <a:srgbClr val="FFFFFF"/>
          </a:solidFill>
          <a:ln w="9525">
            <a:noFill/>
            <a:miter lim="800000"/>
            <a:headEnd/>
            <a:tailEnd/>
          </a:ln>
        </xdr:spPr>
        <xdr:txBody>
          <a:bodyPr vertOverflow="clip" wrap="square" lIns="45720" tIns="45720" rIns="0" bIns="0" anchor="t" upright="1"/>
          <a:lstStyle/>
          <a:p>
            <a:pPr algn="l" rtl="0">
              <a:defRPr sz="1000"/>
            </a:pPr>
            <a:r>
              <a:rPr lang="zh-TW" altLang="en-US" sz="3600" b="0" i="0" u="none" strike="noStrike" baseline="0">
                <a:solidFill>
                  <a:srgbClr val="000000"/>
                </a:solidFill>
                <a:latin typeface="標楷體"/>
                <a:ea typeface="標楷體"/>
              </a:rPr>
              <a:t>不動產說明書</a:t>
            </a:r>
          </a:p>
        </xdr:txBody>
      </xdr:sp>
    </xdr:grpSp>
    <xdr:clientData/>
  </xdr:twoCellAnchor>
  <xdr:twoCellAnchor>
    <xdr:from>
      <xdr:col>8</xdr:col>
      <xdr:colOff>66675</xdr:colOff>
      <xdr:row>17</xdr:row>
      <xdr:rowOff>85725</xdr:rowOff>
    </xdr:from>
    <xdr:to>
      <xdr:col>46</xdr:col>
      <xdr:colOff>123825</xdr:colOff>
      <xdr:row>23</xdr:row>
      <xdr:rowOff>76200</xdr:rowOff>
    </xdr:to>
    <xdr:grpSp>
      <xdr:nvGrpSpPr>
        <xdr:cNvPr id="3709" name="Group 19"/>
        <xdr:cNvGrpSpPr>
          <a:grpSpLocks/>
        </xdr:cNvGrpSpPr>
      </xdr:nvGrpSpPr>
      <xdr:grpSpPr bwMode="auto">
        <a:xfrm>
          <a:off x="1285875" y="2676525"/>
          <a:ext cx="5848350" cy="904875"/>
          <a:chOff x="111" y="251"/>
          <a:chExt cx="458" cy="77"/>
        </a:xfrm>
      </xdr:grpSpPr>
      <xdr:pic>
        <xdr:nvPicPr>
          <xdr:cNvPr id="3710" name="Picture 20"/>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1" y="256"/>
            <a:ext cx="89" cy="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3093" name="Text Box 21"/>
          <xdr:cNvSpPr txBox="1">
            <a:spLocks noChangeArrowheads="1"/>
          </xdr:cNvSpPr>
        </xdr:nvSpPr>
        <xdr:spPr bwMode="auto">
          <a:xfrm>
            <a:off x="212" y="251"/>
            <a:ext cx="357" cy="77"/>
          </a:xfrm>
          <a:prstGeom prst="rect">
            <a:avLst/>
          </a:prstGeom>
          <a:solidFill>
            <a:srgbClr val="FFFFFF"/>
          </a:solidFill>
          <a:ln w="9525">
            <a:noFill/>
            <a:miter lim="800000"/>
            <a:headEnd/>
            <a:tailEnd/>
          </a:ln>
        </xdr:spPr>
        <xdr:txBody>
          <a:bodyPr vertOverflow="clip" wrap="square" lIns="91440" tIns="96012" rIns="0" bIns="0" anchor="t" upright="1"/>
          <a:lstStyle/>
          <a:p>
            <a:pPr algn="l" rtl="0">
              <a:defRPr sz="1000"/>
            </a:pPr>
            <a:r>
              <a:rPr lang="zh-TW" altLang="en-US" sz="4800" b="1" i="0" u="none" strike="noStrike" baseline="0">
                <a:solidFill>
                  <a:srgbClr val="000000"/>
                </a:solidFill>
                <a:latin typeface="標楷體"/>
                <a:ea typeface="標楷體"/>
              </a:rPr>
              <a:t>不動產說明書</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38100</xdr:colOff>
      <xdr:row>0</xdr:row>
      <xdr:rowOff>66675</xdr:rowOff>
    </xdr:from>
    <xdr:to>
      <xdr:col>22</xdr:col>
      <xdr:colOff>0</xdr:colOff>
      <xdr:row>4</xdr:row>
      <xdr:rowOff>85725</xdr:rowOff>
    </xdr:to>
    <xdr:pic>
      <xdr:nvPicPr>
        <xdr:cNvPr id="2264" name="Picture 1" descr="住商仁愛鳳翔店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66675"/>
          <a:ext cx="2962275"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30</xdr:col>
      <xdr:colOff>38100</xdr:colOff>
      <xdr:row>70</xdr:row>
      <xdr:rowOff>0</xdr:rowOff>
    </xdr:from>
    <xdr:to>
      <xdr:col>51</xdr:col>
      <xdr:colOff>9525</xdr:colOff>
      <xdr:row>73</xdr:row>
      <xdr:rowOff>9525</xdr:rowOff>
    </xdr:to>
    <xdr:sp macro="" textlink="">
      <xdr:nvSpPr>
        <xdr:cNvPr id="2080" name="WordArt 32"/>
        <xdr:cNvSpPr>
          <a:spLocks noChangeArrowheads="1" noChangeShapeType="1" noTextEdit="1"/>
        </xdr:cNvSpPr>
      </xdr:nvSpPr>
      <xdr:spPr bwMode="auto">
        <a:xfrm>
          <a:off x="4324350" y="10001250"/>
          <a:ext cx="2971800" cy="390525"/>
        </a:xfrm>
        <a:prstGeom prst="rect">
          <a:avLst/>
        </a:prstGeom>
      </xdr:spPr>
      <xdr:txBody>
        <a:bodyPr wrap="none" fromWordArt="1">
          <a:prstTxWarp prst="textPlain">
            <a:avLst>
              <a:gd name="adj" fmla="val 50000"/>
            </a:avLst>
          </a:prstTxWarp>
        </a:bodyPr>
        <a:lstStyle/>
        <a:p>
          <a:pPr algn="ctr" rtl="0"/>
          <a:r>
            <a:rPr lang="zh-TW" altLang="en-US" sz="1000" kern="10" spc="0">
              <a:ln w="9525">
                <a:noFill/>
                <a:round/>
                <a:headEnd/>
                <a:tailEnd/>
              </a:ln>
              <a:solidFill>
                <a:srgbClr val="000000"/>
              </a:solidFill>
              <a:effectLst/>
              <a:latin typeface="新細明體"/>
              <a:ea typeface="新細明體"/>
            </a:rPr>
            <a:t>室內格局示意未依實際比例及座向繪製</a:t>
          </a:r>
          <a:r>
            <a:rPr lang="en-US" altLang="zh-TW" sz="1000" kern="10" spc="0">
              <a:ln w="9525">
                <a:noFill/>
                <a:round/>
                <a:headEnd/>
                <a:tailEnd/>
              </a:ln>
              <a:solidFill>
                <a:srgbClr val="000000"/>
              </a:solidFill>
              <a:effectLst/>
              <a:latin typeface="新細明體"/>
              <a:ea typeface="新細明體"/>
            </a:rPr>
            <a:t>,</a:t>
          </a:r>
          <a:r>
            <a:rPr lang="zh-TW" altLang="en-US" sz="1000" kern="10" spc="0">
              <a:ln w="9525">
                <a:noFill/>
                <a:round/>
                <a:headEnd/>
                <a:tailEnd/>
              </a:ln>
              <a:solidFill>
                <a:srgbClr val="000000"/>
              </a:solidFill>
              <a:effectLst/>
              <a:latin typeface="新細明體"/>
              <a:ea typeface="新細明體"/>
            </a:rPr>
            <a:t>可能為現況格局</a:t>
          </a:r>
        </a:p>
        <a:p>
          <a:pPr algn="ctr" rtl="0"/>
          <a:r>
            <a:rPr lang="zh-TW" altLang="en-US" sz="1000" kern="10" spc="0">
              <a:ln w="9525">
                <a:noFill/>
                <a:round/>
                <a:headEnd/>
                <a:tailEnd/>
              </a:ln>
              <a:solidFill>
                <a:srgbClr val="000000"/>
              </a:solidFill>
              <a:effectLst/>
              <a:latin typeface="新細明體"/>
              <a:ea typeface="新細明體"/>
            </a:rPr>
            <a:t>或重新規劃之格局</a:t>
          </a:r>
          <a:r>
            <a:rPr lang="en-US" altLang="zh-TW" sz="1000" kern="10" spc="0">
              <a:ln w="9525">
                <a:noFill/>
                <a:round/>
                <a:headEnd/>
                <a:tailEnd/>
              </a:ln>
              <a:solidFill>
                <a:srgbClr val="000000"/>
              </a:solidFill>
              <a:effectLst/>
              <a:latin typeface="新細明體"/>
              <a:ea typeface="新細明體"/>
            </a:rPr>
            <a:t>.</a:t>
          </a:r>
          <a:r>
            <a:rPr lang="zh-TW" altLang="en-US" sz="1000" kern="10" spc="0">
              <a:ln w="9525">
                <a:noFill/>
                <a:round/>
                <a:headEnd/>
                <a:tailEnd/>
              </a:ln>
              <a:solidFill>
                <a:srgbClr val="000000"/>
              </a:solidFill>
              <a:effectLst/>
              <a:latin typeface="新細明體"/>
              <a:ea typeface="新細明體"/>
            </a:rPr>
            <a:t>本室內格局示意圖僅供參考使用</a:t>
          </a:r>
          <a:r>
            <a:rPr lang="en-US" altLang="zh-TW" sz="1000" kern="10" spc="0">
              <a:ln w="9525">
                <a:noFill/>
                <a:round/>
                <a:headEnd/>
                <a:tailEnd/>
              </a:ln>
              <a:solidFill>
                <a:srgbClr val="000000"/>
              </a:solidFill>
              <a:effectLst/>
              <a:latin typeface="新細明體"/>
              <a:ea typeface="新細明體"/>
            </a:rPr>
            <a:t>,</a:t>
          </a:r>
          <a:r>
            <a:rPr lang="zh-TW" altLang="en-US" sz="1000" kern="10" spc="0">
              <a:ln w="9525">
                <a:noFill/>
                <a:round/>
                <a:headEnd/>
                <a:tailEnd/>
              </a:ln>
              <a:solidFill>
                <a:srgbClr val="000000"/>
              </a:solidFill>
              <a:effectLst/>
              <a:latin typeface="新細明體"/>
              <a:ea typeface="新細明體"/>
            </a:rPr>
            <a:t>其建</a:t>
          </a:r>
        </a:p>
        <a:p>
          <a:pPr algn="ctr" rtl="0"/>
          <a:r>
            <a:rPr lang="zh-TW" altLang="en-US" sz="1000" kern="10" spc="0">
              <a:ln w="9525">
                <a:noFill/>
                <a:round/>
                <a:headEnd/>
                <a:tailEnd/>
              </a:ln>
              <a:solidFill>
                <a:srgbClr val="000000"/>
              </a:solidFill>
              <a:effectLst/>
              <a:latin typeface="新細明體"/>
              <a:ea typeface="新細明體"/>
            </a:rPr>
            <a:t>物面積及權利範圍仍應依地政機關登載為準</a:t>
          </a:r>
          <a:r>
            <a:rPr lang="en-US" altLang="zh-TW" sz="1000" kern="10" spc="0">
              <a:ln w="9525">
                <a:noFill/>
                <a:round/>
                <a:headEnd/>
                <a:tailEnd/>
              </a:ln>
              <a:solidFill>
                <a:srgbClr val="000000"/>
              </a:solidFill>
              <a:effectLst/>
              <a:latin typeface="新細明體"/>
              <a:ea typeface="新細明體"/>
            </a:rPr>
            <a:t>.</a:t>
          </a:r>
          <a:endParaRPr lang="zh-TW" altLang="en-US" sz="1000" kern="10" spc="0">
            <a:ln w="9525">
              <a:noFill/>
              <a:round/>
              <a:headEnd/>
              <a:tailEnd/>
            </a:ln>
            <a:solidFill>
              <a:srgbClr val="000000"/>
            </a:solidFill>
            <a:effectLst/>
            <a:latin typeface="新細明體"/>
            <a:ea typeface="新細明體"/>
          </a:endParaRPr>
        </a:p>
      </xdr:txBody>
    </xdr:sp>
    <xdr:clientData/>
  </xdr:twoCellAnchor>
  <xdr:twoCellAnchor editAs="oneCell">
    <xdr:from>
      <xdr:col>3</xdr:col>
      <xdr:colOff>47625</xdr:colOff>
      <xdr:row>54</xdr:row>
      <xdr:rowOff>15876</xdr:rowOff>
    </xdr:from>
    <xdr:to>
      <xdr:col>26</xdr:col>
      <xdr:colOff>95250</xdr:colOff>
      <xdr:row>73</xdr:row>
      <xdr:rowOff>17978</xdr:rowOff>
    </xdr:to>
    <xdr:pic>
      <xdr:nvPicPr>
        <xdr:cNvPr id="5" name="圖片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0" y="7731126"/>
          <a:ext cx="3333750" cy="26691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127000</xdr:colOff>
      <xdr:row>54</xdr:row>
      <xdr:rowOff>95252</xdr:rowOff>
    </xdr:from>
    <xdr:to>
      <xdr:col>49</xdr:col>
      <xdr:colOff>0</xdr:colOff>
      <xdr:row>69</xdr:row>
      <xdr:rowOff>7939</xdr:rowOff>
    </xdr:to>
    <xdr:pic>
      <xdr:nvPicPr>
        <xdr:cNvPr id="6" name="圖片 5"/>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699000" y="7810502"/>
          <a:ext cx="2301875" cy="20558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19</xdr:row>
      <xdr:rowOff>66675</xdr:rowOff>
    </xdr:from>
    <xdr:to>
      <xdr:col>3</xdr:col>
      <xdr:colOff>66675</xdr:colOff>
      <xdr:row>20</xdr:row>
      <xdr:rowOff>66675</xdr:rowOff>
    </xdr:to>
    <xdr:sp macro="" textlink="">
      <xdr:nvSpPr>
        <xdr:cNvPr id="19601" name="Rectangle 13"/>
        <xdr:cNvSpPr>
          <a:spLocks noChangeArrowheads="1"/>
        </xdr:cNvSpPr>
      </xdr:nvSpPr>
      <xdr:spPr bwMode="auto">
        <a:xfrm>
          <a:off x="314325" y="2419350"/>
          <a:ext cx="123825" cy="123825"/>
        </a:xfrm>
        <a:prstGeom prst="rect">
          <a:avLst/>
        </a:prstGeom>
        <a:solidFill>
          <a:srgbClr val="000000"/>
        </a:solidFill>
        <a:ln w="9525">
          <a:solidFill>
            <a:srgbClr val="000000"/>
          </a:solidFill>
          <a:miter lim="800000"/>
          <a:headEnd/>
          <a:tailEnd/>
        </a:ln>
      </xdr:spPr>
    </xdr:sp>
    <xdr:clientData/>
  </xdr:twoCellAnchor>
  <xdr:twoCellAnchor>
    <xdr:from>
      <xdr:col>2</xdr:col>
      <xdr:colOff>66675</xdr:colOff>
      <xdr:row>21</xdr:row>
      <xdr:rowOff>66675</xdr:rowOff>
    </xdr:from>
    <xdr:to>
      <xdr:col>3</xdr:col>
      <xdr:colOff>66675</xdr:colOff>
      <xdr:row>22</xdr:row>
      <xdr:rowOff>66675</xdr:rowOff>
    </xdr:to>
    <xdr:sp macro="" textlink="">
      <xdr:nvSpPr>
        <xdr:cNvPr id="19602" name="Rectangle 14"/>
        <xdr:cNvSpPr>
          <a:spLocks noChangeArrowheads="1"/>
        </xdr:cNvSpPr>
      </xdr:nvSpPr>
      <xdr:spPr bwMode="auto">
        <a:xfrm>
          <a:off x="314325" y="2667000"/>
          <a:ext cx="123825" cy="123825"/>
        </a:xfrm>
        <a:prstGeom prst="rect">
          <a:avLst/>
        </a:prstGeom>
        <a:solidFill>
          <a:srgbClr val="000000"/>
        </a:solidFill>
        <a:ln w="9525">
          <a:solidFill>
            <a:srgbClr val="000000"/>
          </a:solidFill>
          <a:miter lim="800000"/>
          <a:headEnd/>
          <a:tailEnd/>
        </a:ln>
      </xdr:spPr>
    </xdr:sp>
    <xdr:clientData/>
  </xdr:twoCellAnchor>
  <xdr:twoCellAnchor>
    <xdr:from>
      <xdr:col>2</xdr:col>
      <xdr:colOff>66675</xdr:colOff>
      <xdr:row>23</xdr:row>
      <xdr:rowOff>66675</xdr:rowOff>
    </xdr:from>
    <xdr:to>
      <xdr:col>3</xdr:col>
      <xdr:colOff>66675</xdr:colOff>
      <xdr:row>24</xdr:row>
      <xdr:rowOff>66675</xdr:rowOff>
    </xdr:to>
    <xdr:sp macro="" textlink="">
      <xdr:nvSpPr>
        <xdr:cNvPr id="19603" name="Rectangle 15"/>
        <xdr:cNvSpPr>
          <a:spLocks noChangeArrowheads="1"/>
        </xdr:cNvSpPr>
      </xdr:nvSpPr>
      <xdr:spPr bwMode="auto">
        <a:xfrm>
          <a:off x="314325" y="2914650"/>
          <a:ext cx="123825" cy="1238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16</xdr:col>
      <xdr:colOff>66675</xdr:colOff>
      <xdr:row>21</xdr:row>
      <xdr:rowOff>66675</xdr:rowOff>
    </xdr:from>
    <xdr:to>
      <xdr:col>17</xdr:col>
      <xdr:colOff>66675</xdr:colOff>
      <xdr:row>22</xdr:row>
      <xdr:rowOff>66675</xdr:rowOff>
    </xdr:to>
    <xdr:sp macro="" textlink="">
      <xdr:nvSpPr>
        <xdr:cNvPr id="19604" name="Rectangle 18"/>
        <xdr:cNvSpPr>
          <a:spLocks noChangeArrowheads="1"/>
        </xdr:cNvSpPr>
      </xdr:nvSpPr>
      <xdr:spPr bwMode="auto">
        <a:xfrm>
          <a:off x="2047875" y="2667000"/>
          <a:ext cx="123825" cy="123825"/>
        </a:xfrm>
        <a:prstGeom prst="rect">
          <a:avLst/>
        </a:prstGeom>
        <a:solidFill>
          <a:srgbClr val="000000"/>
        </a:solidFill>
        <a:ln w="9525">
          <a:solidFill>
            <a:srgbClr val="000000"/>
          </a:solidFill>
          <a:miter lim="800000"/>
          <a:headEnd/>
          <a:tailEnd/>
        </a:ln>
      </xdr:spPr>
    </xdr:sp>
    <xdr:clientData/>
  </xdr:twoCellAnchor>
  <xdr:twoCellAnchor>
    <xdr:from>
      <xdr:col>16</xdr:col>
      <xdr:colOff>66675</xdr:colOff>
      <xdr:row>25</xdr:row>
      <xdr:rowOff>66675</xdr:rowOff>
    </xdr:from>
    <xdr:to>
      <xdr:col>17</xdr:col>
      <xdr:colOff>66675</xdr:colOff>
      <xdr:row>26</xdr:row>
      <xdr:rowOff>66675</xdr:rowOff>
    </xdr:to>
    <xdr:sp macro="" textlink="">
      <xdr:nvSpPr>
        <xdr:cNvPr id="19605" name="Rectangle 20"/>
        <xdr:cNvSpPr>
          <a:spLocks noChangeArrowheads="1"/>
        </xdr:cNvSpPr>
      </xdr:nvSpPr>
      <xdr:spPr bwMode="auto">
        <a:xfrm>
          <a:off x="2047875" y="3162300"/>
          <a:ext cx="123825" cy="123825"/>
        </a:xfrm>
        <a:prstGeom prst="rect">
          <a:avLst/>
        </a:prstGeom>
        <a:solidFill>
          <a:srgbClr val="000000"/>
        </a:solidFill>
        <a:ln w="9525">
          <a:solidFill>
            <a:srgbClr val="000000"/>
          </a:solidFill>
          <a:miter lim="800000"/>
          <a:headEnd/>
          <a:tailEnd/>
        </a:ln>
      </xdr:spPr>
    </xdr:sp>
    <xdr:clientData/>
  </xdr:twoCellAnchor>
  <xdr:twoCellAnchor>
    <xdr:from>
      <xdr:col>16</xdr:col>
      <xdr:colOff>66675</xdr:colOff>
      <xdr:row>27</xdr:row>
      <xdr:rowOff>66675</xdr:rowOff>
    </xdr:from>
    <xdr:to>
      <xdr:col>17</xdr:col>
      <xdr:colOff>66675</xdr:colOff>
      <xdr:row>28</xdr:row>
      <xdr:rowOff>66675</xdr:rowOff>
    </xdr:to>
    <xdr:sp macro="" textlink="">
      <xdr:nvSpPr>
        <xdr:cNvPr id="19606" name="Rectangle 21"/>
        <xdr:cNvSpPr>
          <a:spLocks noChangeArrowheads="1"/>
        </xdr:cNvSpPr>
      </xdr:nvSpPr>
      <xdr:spPr bwMode="auto">
        <a:xfrm>
          <a:off x="2047875" y="3409950"/>
          <a:ext cx="123825" cy="123825"/>
        </a:xfrm>
        <a:prstGeom prst="rect">
          <a:avLst/>
        </a:prstGeom>
        <a:solidFill>
          <a:srgbClr val="000000"/>
        </a:solidFill>
        <a:ln w="9525">
          <a:solidFill>
            <a:srgbClr val="000000"/>
          </a:solidFill>
          <a:miter lim="800000"/>
          <a:headEnd/>
          <a:tailEnd/>
        </a:ln>
      </xdr:spPr>
    </xdr:sp>
    <xdr:clientData/>
  </xdr:twoCellAnchor>
  <xdr:twoCellAnchor>
    <xdr:from>
      <xdr:col>16</xdr:col>
      <xdr:colOff>66675</xdr:colOff>
      <xdr:row>35</xdr:row>
      <xdr:rowOff>66675</xdr:rowOff>
    </xdr:from>
    <xdr:to>
      <xdr:col>17</xdr:col>
      <xdr:colOff>66675</xdr:colOff>
      <xdr:row>36</xdr:row>
      <xdr:rowOff>66675</xdr:rowOff>
    </xdr:to>
    <xdr:sp macro="" textlink="">
      <xdr:nvSpPr>
        <xdr:cNvPr id="19607" name="Rectangle 22"/>
        <xdr:cNvSpPr>
          <a:spLocks noChangeArrowheads="1"/>
        </xdr:cNvSpPr>
      </xdr:nvSpPr>
      <xdr:spPr bwMode="auto">
        <a:xfrm>
          <a:off x="2047875" y="4400550"/>
          <a:ext cx="123825" cy="123825"/>
        </a:xfrm>
        <a:prstGeom prst="rect">
          <a:avLst/>
        </a:prstGeom>
        <a:solidFill>
          <a:srgbClr val="000000"/>
        </a:solidFill>
        <a:ln w="9525">
          <a:solidFill>
            <a:srgbClr val="000000"/>
          </a:solidFill>
          <a:miter lim="800000"/>
          <a:headEnd/>
          <a:tailEnd/>
        </a:ln>
      </xdr:spPr>
    </xdr:sp>
    <xdr:clientData/>
  </xdr:twoCellAnchor>
  <xdr:twoCellAnchor>
    <xdr:from>
      <xdr:col>33</xdr:col>
      <xdr:colOff>66675</xdr:colOff>
      <xdr:row>21</xdr:row>
      <xdr:rowOff>66675</xdr:rowOff>
    </xdr:from>
    <xdr:to>
      <xdr:col>34</xdr:col>
      <xdr:colOff>66675</xdr:colOff>
      <xdr:row>22</xdr:row>
      <xdr:rowOff>66675</xdr:rowOff>
    </xdr:to>
    <xdr:sp macro="" textlink="">
      <xdr:nvSpPr>
        <xdr:cNvPr id="19608" name="Rectangle 23"/>
        <xdr:cNvSpPr>
          <a:spLocks noChangeArrowheads="1"/>
        </xdr:cNvSpPr>
      </xdr:nvSpPr>
      <xdr:spPr bwMode="auto">
        <a:xfrm>
          <a:off x="4152900" y="2667000"/>
          <a:ext cx="123825" cy="123825"/>
        </a:xfrm>
        <a:prstGeom prst="rect">
          <a:avLst/>
        </a:prstGeom>
        <a:solidFill>
          <a:srgbClr val="000000"/>
        </a:solidFill>
        <a:ln w="9525">
          <a:solidFill>
            <a:srgbClr val="000000"/>
          </a:solidFill>
          <a:miter lim="800000"/>
          <a:headEnd/>
          <a:tailEnd/>
        </a:ln>
      </xdr:spPr>
    </xdr:sp>
    <xdr:clientData/>
  </xdr:twoCellAnchor>
  <xdr:twoCellAnchor>
    <xdr:from>
      <xdr:col>33</xdr:col>
      <xdr:colOff>66675</xdr:colOff>
      <xdr:row>23</xdr:row>
      <xdr:rowOff>66675</xdr:rowOff>
    </xdr:from>
    <xdr:to>
      <xdr:col>34</xdr:col>
      <xdr:colOff>66675</xdr:colOff>
      <xdr:row>24</xdr:row>
      <xdr:rowOff>66675</xdr:rowOff>
    </xdr:to>
    <xdr:sp macro="" textlink="">
      <xdr:nvSpPr>
        <xdr:cNvPr id="19609" name="Rectangle 24"/>
        <xdr:cNvSpPr>
          <a:spLocks noChangeArrowheads="1"/>
        </xdr:cNvSpPr>
      </xdr:nvSpPr>
      <xdr:spPr bwMode="auto">
        <a:xfrm>
          <a:off x="4152900" y="2914650"/>
          <a:ext cx="123825" cy="123825"/>
        </a:xfrm>
        <a:prstGeom prst="rect">
          <a:avLst/>
        </a:prstGeom>
        <a:solidFill>
          <a:srgbClr val="000000"/>
        </a:solidFill>
        <a:ln w="9525">
          <a:solidFill>
            <a:srgbClr val="000000"/>
          </a:solidFill>
          <a:miter lim="800000"/>
          <a:headEnd/>
          <a:tailEnd/>
        </a:ln>
      </xdr:spPr>
    </xdr:sp>
    <xdr:clientData/>
  </xdr:twoCellAnchor>
  <xdr:twoCellAnchor>
    <xdr:from>
      <xdr:col>33</xdr:col>
      <xdr:colOff>66675</xdr:colOff>
      <xdr:row>25</xdr:row>
      <xdr:rowOff>66675</xdr:rowOff>
    </xdr:from>
    <xdr:to>
      <xdr:col>34</xdr:col>
      <xdr:colOff>66675</xdr:colOff>
      <xdr:row>26</xdr:row>
      <xdr:rowOff>66675</xdr:rowOff>
    </xdr:to>
    <xdr:sp macro="" textlink="">
      <xdr:nvSpPr>
        <xdr:cNvPr id="19610" name="Rectangle 25"/>
        <xdr:cNvSpPr>
          <a:spLocks noChangeArrowheads="1"/>
        </xdr:cNvSpPr>
      </xdr:nvSpPr>
      <xdr:spPr bwMode="auto">
        <a:xfrm>
          <a:off x="4152900" y="3162300"/>
          <a:ext cx="123825" cy="1238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33</xdr:col>
      <xdr:colOff>66675</xdr:colOff>
      <xdr:row>27</xdr:row>
      <xdr:rowOff>66675</xdr:rowOff>
    </xdr:from>
    <xdr:to>
      <xdr:col>34</xdr:col>
      <xdr:colOff>66675</xdr:colOff>
      <xdr:row>28</xdr:row>
      <xdr:rowOff>66675</xdr:rowOff>
    </xdr:to>
    <xdr:sp macro="" textlink="">
      <xdr:nvSpPr>
        <xdr:cNvPr id="19611" name="Rectangle 26"/>
        <xdr:cNvSpPr>
          <a:spLocks noChangeArrowheads="1"/>
        </xdr:cNvSpPr>
      </xdr:nvSpPr>
      <xdr:spPr bwMode="auto">
        <a:xfrm>
          <a:off x="4152900" y="3409950"/>
          <a:ext cx="123825" cy="1238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33</xdr:col>
      <xdr:colOff>66675</xdr:colOff>
      <xdr:row>29</xdr:row>
      <xdr:rowOff>66675</xdr:rowOff>
    </xdr:from>
    <xdr:to>
      <xdr:col>34</xdr:col>
      <xdr:colOff>66675</xdr:colOff>
      <xdr:row>30</xdr:row>
      <xdr:rowOff>66675</xdr:rowOff>
    </xdr:to>
    <xdr:sp macro="" textlink="">
      <xdr:nvSpPr>
        <xdr:cNvPr id="19612" name="Rectangle 27"/>
        <xdr:cNvSpPr>
          <a:spLocks noChangeArrowheads="1"/>
        </xdr:cNvSpPr>
      </xdr:nvSpPr>
      <xdr:spPr bwMode="auto">
        <a:xfrm>
          <a:off x="4152900" y="3657600"/>
          <a:ext cx="123825" cy="1238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33</xdr:col>
      <xdr:colOff>66675</xdr:colOff>
      <xdr:row>31</xdr:row>
      <xdr:rowOff>66675</xdr:rowOff>
    </xdr:from>
    <xdr:to>
      <xdr:col>34</xdr:col>
      <xdr:colOff>66675</xdr:colOff>
      <xdr:row>32</xdr:row>
      <xdr:rowOff>66675</xdr:rowOff>
    </xdr:to>
    <xdr:sp macro="" textlink="">
      <xdr:nvSpPr>
        <xdr:cNvPr id="19613" name="Rectangle 28"/>
        <xdr:cNvSpPr>
          <a:spLocks noChangeArrowheads="1"/>
        </xdr:cNvSpPr>
      </xdr:nvSpPr>
      <xdr:spPr bwMode="auto">
        <a:xfrm>
          <a:off x="4152900" y="3905250"/>
          <a:ext cx="123825" cy="1238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33</xdr:col>
      <xdr:colOff>66675</xdr:colOff>
      <xdr:row>33</xdr:row>
      <xdr:rowOff>66675</xdr:rowOff>
    </xdr:from>
    <xdr:to>
      <xdr:col>34</xdr:col>
      <xdr:colOff>66675</xdr:colOff>
      <xdr:row>34</xdr:row>
      <xdr:rowOff>66675</xdr:rowOff>
    </xdr:to>
    <xdr:sp macro="" textlink="">
      <xdr:nvSpPr>
        <xdr:cNvPr id="19614" name="Rectangle 29"/>
        <xdr:cNvSpPr>
          <a:spLocks noChangeArrowheads="1"/>
        </xdr:cNvSpPr>
      </xdr:nvSpPr>
      <xdr:spPr bwMode="auto">
        <a:xfrm>
          <a:off x="4152900" y="4152900"/>
          <a:ext cx="123825" cy="123825"/>
        </a:xfrm>
        <a:prstGeom prst="rect">
          <a:avLst/>
        </a:prstGeom>
        <a:solidFill>
          <a:srgbClr val="FFFFFF"/>
        </a:solidFill>
        <a:ln w="9525">
          <a:solidFill>
            <a:srgbClr val="000000"/>
          </a:solidFill>
          <a:miter lim="800000"/>
          <a:headEnd/>
          <a:tailEnd/>
        </a:ln>
      </xdr:spPr>
    </xdr:sp>
    <xdr:clientData/>
  </xdr:twoCellAnchor>
  <xdr:twoCellAnchor>
    <xdr:from>
      <xdr:col>33</xdr:col>
      <xdr:colOff>66675</xdr:colOff>
      <xdr:row>35</xdr:row>
      <xdr:rowOff>66675</xdr:rowOff>
    </xdr:from>
    <xdr:to>
      <xdr:col>34</xdr:col>
      <xdr:colOff>66675</xdr:colOff>
      <xdr:row>36</xdr:row>
      <xdr:rowOff>66675</xdr:rowOff>
    </xdr:to>
    <xdr:sp macro="" textlink="">
      <xdr:nvSpPr>
        <xdr:cNvPr id="19615" name="Rectangle 30"/>
        <xdr:cNvSpPr>
          <a:spLocks noChangeArrowheads="1"/>
        </xdr:cNvSpPr>
      </xdr:nvSpPr>
      <xdr:spPr bwMode="auto">
        <a:xfrm>
          <a:off x="4152900" y="4400550"/>
          <a:ext cx="123825" cy="1238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33</xdr:col>
      <xdr:colOff>66675</xdr:colOff>
      <xdr:row>37</xdr:row>
      <xdr:rowOff>66675</xdr:rowOff>
    </xdr:from>
    <xdr:to>
      <xdr:col>34</xdr:col>
      <xdr:colOff>66675</xdr:colOff>
      <xdr:row>38</xdr:row>
      <xdr:rowOff>66675</xdr:rowOff>
    </xdr:to>
    <xdr:sp macro="" textlink="">
      <xdr:nvSpPr>
        <xdr:cNvPr id="19616" name="Rectangle 31"/>
        <xdr:cNvSpPr>
          <a:spLocks noChangeArrowheads="1"/>
        </xdr:cNvSpPr>
      </xdr:nvSpPr>
      <xdr:spPr bwMode="auto">
        <a:xfrm>
          <a:off x="4152900" y="4648200"/>
          <a:ext cx="123825" cy="1238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14</xdr:col>
      <xdr:colOff>95250</xdr:colOff>
      <xdr:row>1</xdr:row>
      <xdr:rowOff>95250</xdr:rowOff>
    </xdr:from>
    <xdr:to>
      <xdr:col>36</xdr:col>
      <xdr:colOff>66675</xdr:colOff>
      <xdr:row>5</xdr:row>
      <xdr:rowOff>38100</xdr:rowOff>
    </xdr:to>
    <xdr:grpSp>
      <xdr:nvGrpSpPr>
        <xdr:cNvPr id="19617" name="Group 41"/>
        <xdr:cNvGrpSpPr>
          <a:grpSpLocks/>
        </xdr:cNvGrpSpPr>
      </xdr:nvGrpSpPr>
      <xdr:grpSpPr bwMode="auto">
        <a:xfrm>
          <a:off x="1828800" y="219075"/>
          <a:ext cx="2695575" cy="438150"/>
          <a:chOff x="111" y="251"/>
          <a:chExt cx="458" cy="77"/>
        </a:xfrm>
      </xdr:grpSpPr>
      <xdr:pic>
        <xdr:nvPicPr>
          <xdr:cNvPr id="19621" name="Picture 4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 y="256"/>
            <a:ext cx="89" cy="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4139" name="Text Box 43"/>
          <xdr:cNvSpPr txBox="1">
            <a:spLocks noChangeArrowheads="1"/>
          </xdr:cNvSpPr>
        </xdr:nvSpPr>
        <xdr:spPr bwMode="auto">
          <a:xfrm>
            <a:off x="211" y="251"/>
            <a:ext cx="358" cy="77"/>
          </a:xfrm>
          <a:prstGeom prst="rect">
            <a:avLst/>
          </a:prstGeom>
          <a:solidFill>
            <a:srgbClr val="FFFFFF"/>
          </a:solidFill>
          <a:ln w="9525">
            <a:noFill/>
            <a:miter lim="800000"/>
            <a:headEnd/>
            <a:tailEnd/>
          </a:ln>
        </xdr:spPr>
        <xdr:txBody>
          <a:bodyPr vertOverflow="clip" wrap="square" lIns="45720" tIns="41148" rIns="0" bIns="0" anchor="t" upright="1"/>
          <a:lstStyle/>
          <a:p>
            <a:pPr algn="l" rtl="0">
              <a:defRPr sz="1000"/>
            </a:pPr>
            <a:r>
              <a:rPr lang="zh-TW" altLang="en-US" sz="1800" b="1" i="0" u="none" strike="noStrike" baseline="0">
                <a:solidFill>
                  <a:srgbClr val="000000"/>
                </a:solidFill>
                <a:latin typeface="標楷體"/>
                <a:ea typeface="標楷體"/>
              </a:rPr>
              <a:t>不動產說明書</a:t>
            </a:r>
          </a:p>
        </xdr:txBody>
      </xdr:sp>
    </xdr:grpSp>
    <xdr:clientData/>
  </xdr:twoCellAnchor>
  <xdr:twoCellAnchor>
    <xdr:from>
      <xdr:col>16</xdr:col>
      <xdr:colOff>66675</xdr:colOff>
      <xdr:row>19</xdr:row>
      <xdr:rowOff>47625</xdr:rowOff>
    </xdr:from>
    <xdr:to>
      <xdr:col>17</xdr:col>
      <xdr:colOff>66675</xdr:colOff>
      <xdr:row>20</xdr:row>
      <xdr:rowOff>47625</xdr:rowOff>
    </xdr:to>
    <xdr:sp macro="" textlink="">
      <xdr:nvSpPr>
        <xdr:cNvPr id="19618" name="Rectangle 44"/>
        <xdr:cNvSpPr>
          <a:spLocks noChangeArrowheads="1"/>
        </xdr:cNvSpPr>
      </xdr:nvSpPr>
      <xdr:spPr bwMode="auto">
        <a:xfrm>
          <a:off x="2047875" y="2400300"/>
          <a:ext cx="123825" cy="1238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16</xdr:col>
      <xdr:colOff>66675</xdr:colOff>
      <xdr:row>23</xdr:row>
      <xdr:rowOff>57150</xdr:rowOff>
    </xdr:from>
    <xdr:to>
      <xdr:col>17</xdr:col>
      <xdr:colOff>66675</xdr:colOff>
      <xdr:row>24</xdr:row>
      <xdr:rowOff>57150</xdr:rowOff>
    </xdr:to>
    <xdr:sp macro="" textlink="">
      <xdr:nvSpPr>
        <xdr:cNvPr id="19619" name="Rectangle 46"/>
        <xdr:cNvSpPr>
          <a:spLocks noChangeArrowheads="1"/>
        </xdr:cNvSpPr>
      </xdr:nvSpPr>
      <xdr:spPr bwMode="auto">
        <a:xfrm>
          <a:off x="2047875" y="2905125"/>
          <a:ext cx="123825" cy="123825"/>
        </a:xfrm>
        <a:prstGeom prst="rect">
          <a:avLst/>
        </a:prstGeom>
        <a:solidFill>
          <a:srgbClr val="000000"/>
        </a:solidFill>
        <a:ln w="9525">
          <a:solidFill>
            <a:srgbClr val="000000"/>
          </a:solidFill>
          <a:miter lim="800000"/>
          <a:headEnd/>
          <a:tailEnd/>
        </a:ln>
      </xdr:spPr>
    </xdr:sp>
    <xdr:clientData/>
  </xdr:twoCellAnchor>
  <xdr:twoCellAnchor>
    <xdr:from>
      <xdr:col>2</xdr:col>
      <xdr:colOff>66675</xdr:colOff>
      <xdr:row>25</xdr:row>
      <xdr:rowOff>47625</xdr:rowOff>
    </xdr:from>
    <xdr:to>
      <xdr:col>3</xdr:col>
      <xdr:colOff>66675</xdr:colOff>
      <xdr:row>26</xdr:row>
      <xdr:rowOff>47625</xdr:rowOff>
    </xdr:to>
    <xdr:sp macro="" textlink="">
      <xdr:nvSpPr>
        <xdr:cNvPr id="19620" name="Rectangle 15"/>
        <xdr:cNvSpPr>
          <a:spLocks noChangeArrowheads="1"/>
        </xdr:cNvSpPr>
      </xdr:nvSpPr>
      <xdr:spPr bwMode="auto">
        <a:xfrm>
          <a:off x="314325" y="3143250"/>
          <a:ext cx="123825" cy="1238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15</xdr:col>
      <xdr:colOff>19050</xdr:colOff>
      <xdr:row>2</xdr:row>
      <xdr:rowOff>9525</xdr:rowOff>
    </xdr:from>
    <xdr:to>
      <xdr:col>43</xdr:col>
      <xdr:colOff>66675</xdr:colOff>
      <xdr:row>5</xdr:row>
      <xdr:rowOff>76200</xdr:rowOff>
    </xdr:to>
    <xdr:grpSp>
      <xdr:nvGrpSpPr>
        <xdr:cNvPr id="6302" name="Group 4"/>
        <xdr:cNvGrpSpPr>
          <a:grpSpLocks/>
        </xdr:cNvGrpSpPr>
      </xdr:nvGrpSpPr>
      <xdr:grpSpPr bwMode="auto">
        <a:xfrm>
          <a:off x="1876425" y="257175"/>
          <a:ext cx="3514725" cy="438150"/>
          <a:chOff x="197" y="27"/>
          <a:chExt cx="369" cy="46"/>
        </a:xfrm>
      </xdr:grpSpPr>
      <xdr:pic>
        <xdr:nvPicPr>
          <xdr:cNvPr id="630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7" y="30"/>
            <a:ext cx="55" cy="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6147" name="Text Box 3"/>
          <xdr:cNvSpPr txBox="1">
            <a:spLocks noChangeArrowheads="1"/>
          </xdr:cNvSpPr>
        </xdr:nvSpPr>
        <xdr:spPr bwMode="auto">
          <a:xfrm>
            <a:off x="259" y="27"/>
            <a:ext cx="307" cy="46"/>
          </a:xfrm>
          <a:prstGeom prst="rect">
            <a:avLst/>
          </a:prstGeom>
          <a:solidFill>
            <a:srgbClr val="FFFFFF"/>
          </a:solidFill>
          <a:ln w="9525">
            <a:noFill/>
            <a:miter lim="800000"/>
            <a:headEnd/>
            <a:tailEnd/>
          </a:ln>
        </xdr:spPr>
        <xdr:txBody>
          <a:bodyPr vertOverflow="clip" wrap="square" lIns="45720" tIns="45720" rIns="0" bIns="0" anchor="t" upright="1"/>
          <a:lstStyle/>
          <a:p>
            <a:pPr algn="l" rtl="0">
              <a:defRPr sz="1000"/>
            </a:pPr>
            <a:r>
              <a:rPr lang="zh-TW" altLang="en-US" sz="2200" b="1" i="0" u="none" strike="noStrike" baseline="0">
                <a:solidFill>
                  <a:srgbClr val="000000"/>
                </a:solidFill>
                <a:latin typeface="標楷體"/>
                <a:ea typeface="標楷體"/>
              </a:rPr>
              <a:t>產權調查篇</a:t>
            </a:r>
            <a:r>
              <a:rPr lang="en-US" altLang="zh-TW" sz="2200" b="1" i="0" u="none" strike="noStrike" baseline="0">
                <a:solidFill>
                  <a:srgbClr val="000000"/>
                </a:solidFill>
                <a:latin typeface="標楷體"/>
                <a:ea typeface="標楷體"/>
              </a:rPr>
              <a:t>(</a:t>
            </a:r>
            <a:r>
              <a:rPr lang="zh-TW" altLang="en-US" sz="2200" b="1" i="0" u="none" strike="noStrike" baseline="0">
                <a:solidFill>
                  <a:srgbClr val="000000"/>
                </a:solidFill>
                <a:latin typeface="標楷體"/>
                <a:ea typeface="標楷體"/>
              </a:rPr>
              <a:t>建物</a:t>
            </a:r>
            <a:r>
              <a:rPr lang="en-US" altLang="zh-TW" sz="2200" b="1" i="0" u="none" strike="noStrike" baseline="0">
                <a:solidFill>
                  <a:srgbClr val="000000"/>
                </a:solidFill>
                <a:latin typeface="標楷體"/>
                <a:ea typeface="標楷體"/>
              </a:rPr>
              <a:t>)</a:t>
            </a: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104775</xdr:colOff>
      <xdr:row>2</xdr:row>
      <xdr:rowOff>0</xdr:rowOff>
    </xdr:from>
    <xdr:to>
      <xdr:col>41</xdr:col>
      <xdr:colOff>114300</xdr:colOff>
      <xdr:row>5</xdr:row>
      <xdr:rowOff>66675</xdr:rowOff>
    </xdr:to>
    <xdr:grpSp>
      <xdr:nvGrpSpPr>
        <xdr:cNvPr id="5319" name="Group 21"/>
        <xdr:cNvGrpSpPr>
          <a:grpSpLocks/>
        </xdr:cNvGrpSpPr>
      </xdr:nvGrpSpPr>
      <xdr:grpSpPr bwMode="auto">
        <a:xfrm>
          <a:off x="1838325" y="247650"/>
          <a:ext cx="3352800" cy="438150"/>
          <a:chOff x="193" y="26"/>
          <a:chExt cx="352" cy="46"/>
        </a:xfrm>
      </xdr:grpSpPr>
      <xdr:pic>
        <xdr:nvPicPr>
          <xdr:cNvPr id="5323" name="Picture 19"/>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3" y="29"/>
            <a:ext cx="55" cy="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5140" name="Text Box 20"/>
          <xdr:cNvSpPr txBox="1">
            <a:spLocks noChangeArrowheads="1"/>
          </xdr:cNvSpPr>
        </xdr:nvSpPr>
        <xdr:spPr bwMode="auto">
          <a:xfrm>
            <a:off x="255" y="26"/>
            <a:ext cx="290" cy="46"/>
          </a:xfrm>
          <a:prstGeom prst="rect">
            <a:avLst/>
          </a:prstGeom>
          <a:solidFill>
            <a:srgbClr val="FFFFFF"/>
          </a:solidFill>
          <a:ln w="9525">
            <a:noFill/>
            <a:miter lim="800000"/>
            <a:headEnd/>
            <a:tailEnd/>
          </a:ln>
        </xdr:spPr>
        <xdr:txBody>
          <a:bodyPr vertOverflow="clip" wrap="square" lIns="45720" tIns="41148" rIns="0" bIns="0" anchor="t" upright="1"/>
          <a:lstStyle/>
          <a:p>
            <a:pPr algn="l" rtl="0">
              <a:defRPr sz="1000"/>
            </a:pPr>
            <a:r>
              <a:rPr lang="zh-TW" altLang="en-US" sz="1800" b="1" i="0" u="none" strike="noStrike" baseline="0">
                <a:solidFill>
                  <a:srgbClr val="000000"/>
                </a:solidFill>
                <a:latin typeface="標楷體"/>
                <a:ea typeface="標楷體"/>
              </a:rPr>
              <a:t>產權調查篇</a:t>
            </a:r>
            <a:r>
              <a:rPr lang="en-US" altLang="zh-TW" sz="1800" b="1" i="0" u="none" strike="noStrike" baseline="0">
                <a:solidFill>
                  <a:srgbClr val="000000"/>
                </a:solidFill>
                <a:latin typeface="標楷體"/>
                <a:ea typeface="標楷體"/>
              </a:rPr>
              <a:t>(</a:t>
            </a:r>
            <a:r>
              <a:rPr lang="zh-TW" altLang="en-US" sz="1800" b="1" i="0" u="none" strike="noStrike" baseline="0">
                <a:solidFill>
                  <a:srgbClr val="000000"/>
                </a:solidFill>
                <a:latin typeface="標楷體"/>
                <a:ea typeface="標楷體"/>
              </a:rPr>
              <a:t>土地</a:t>
            </a:r>
            <a:r>
              <a:rPr lang="en-US" altLang="zh-TW" sz="1800" b="1" i="0" u="none" strike="noStrike" baseline="0">
                <a:solidFill>
                  <a:srgbClr val="000000"/>
                </a:solidFill>
                <a:latin typeface="標楷體"/>
                <a:ea typeface="標楷體"/>
              </a:rPr>
              <a:t>)</a:t>
            </a:r>
          </a:p>
        </xdr:txBody>
      </xdr:sp>
    </xdr:grpSp>
    <xdr:clientData/>
  </xdr:twoCellAnchor>
  <xdr:twoCellAnchor>
    <xdr:from>
      <xdr:col>14</xdr:col>
      <xdr:colOff>104775</xdr:colOff>
      <xdr:row>2</xdr:row>
      <xdr:rowOff>0</xdr:rowOff>
    </xdr:from>
    <xdr:to>
      <xdr:col>41</xdr:col>
      <xdr:colOff>114300</xdr:colOff>
      <xdr:row>4</xdr:row>
      <xdr:rowOff>66675</xdr:rowOff>
    </xdr:to>
    <xdr:grpSp>
      <xdr:nvGrpSpPr>
        <xdr:cNvPr id="5320" name="Group 21"/>
        <xdr:cNvGrpSpPr>
          <a:grpSpLocks/>
        </xdr:cNvGrpSpPr>
      </xdr:nvGrpSpPr>
      <xdr:grpSpPr bwMode="auto">
        <a:xfrm>
          <a:off x="1838325" y="247650"/>
          <a:ext cx="3352800" cy="314325"/>
          <a:chOff x="193" y="26"/>
          <a:chExt cx="352" cy="46"/>
        </a:xfrm>
      </xdr:grpSpPr>
      <xdr:pic>
        <xdr:nvPicPr>
          <xdr:cNvPr id="5321" name="Picture 19"/>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3" y="29"/>
            <a:ext cx="55" cy="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7" name="Text Box 20"/>
          <xdr:cNvSpPr txBox="1">
            <a:spLocks noChangeArrowheads="1"/>
          </xdr:cNvSpPr>
        </xdr:nvSpPr>
        <xdr:spPr bwMode="auto">
          <a:xfrm>
            <a:off x="255" y="26"/>
            <a:ext cx="290" cy="46"/>
          </a:xfrm>
          <a:prstGeom prst="rect">
            <a:avLst/>
          </a:prstGeom>
          <a:solidFill>
            <a:srgbClr val="FFFFFF"/>
          </a:solidFill>
          <a:ln w="9525">
            <a:noFill/>
            <a:miter lim="800000"/>
            <a:headEnd/>
            <a:tailEnd/>
          </a:ln>
        </xdr:spPr>
        <xdr:txBody>
          <a:bodyPr vertOverflow="clip" wrap="square" lIns="45720" tIns="41148" rIns="0" bIns="0" anchor="t" upright="1"/>
          <a:lstStyle/>
          <a:p>
            <a:pPr algn="l" rtl="0">
              <a:defRPr sz="1000"/>
            </a:pPr>
            <a:r>
              <a:rPr lang="zh-TW" altLang="en-US" sz="1800" b="1" i="0" u="none" strike="noStrike" baseline="0">
                <a:solidFill>
                  <a:srgbClr val="000000"/>
                </a:solidFill>
                <a:latin typeface="標楷體"/>
                <a:ea typeface="標楷體"/>
              </a:rPr>
              <a:t>產權調查篇</a:t>
            </a:r>
            <a:r>
              <a:rPr lang="en-US" altLang="zh-TW" sz="1800" b="1" i="0" u="none" strike="noStrike" baseline="0">
                <a:solidFill>
                  <a:srgbClr val="000000"/>
                </a:solidFill>
                <a:latin typeface="標楷體"/>
                <a:ea typeface="標楷體"/>
              </a:rPr>
              <a:t>(</a:t>
            </a:r>
            <a:r>
              <a:rPr lang="zh-TW" altLang="en-US" sz="1800" b="1" i="0" u="none" strike="noStrike" baseline="0">
                <a:solidFill>
                  <a:srgbClr val="000000"/>
                </a:solidFill>
                <a:latin typeface="標楷體"/>
                <a:ea typeface="標楷體"/>
              </a:rPr>
              <a:t>土地</a:t>
            </a:r>
            <a:r>
              <a:rPr lang="en-US" altLang="zh-TW" sz="1800" b="1" i="0" u="none" strike="noStrike" baseline="0">
                <a:solidFill>
                  <a:srgbClr val="000000"/>
                </a:solidFill>
                <a:latin typeface="標楷體"/>
                <a:ea typeface="標楷體"/>
              </a:rPr>
              <a:t>)</a:t>
            </a:r>
          </a:p>
        </xdr:txBody>
      </xdr:sp>
    </xdr:grpSp>
    <xdr:clientData/>
  </xdr:twoCellAnchor>
</xdr:wsDr>
</file>

<file path=xl/drawings/drawing6.xml><?xml version="1.0" encoding="utf-8"?>
<xdr:wsDr xmlns:xdr="http://schemas.openxmlformats.org/drawingml/2006/spreadsheetDrawing" xmlns:a="http://schemas.openxmlformats.org/drawingml/2006/main">
  <xdr:twoCellAnchor>
    <xdr:from>
      <xdr:col>15</xdr:col>
      <xdr:colOff>28575</xdr:colOff>
      <xdr:row>2</xdr:row>
      <xdr:rowOff>0</xdr:rowOff>
    </xdr:from>
    <xdr:to>
      <xdr:col>44</xdr:col>
      <xdr:colOff>114300</xdr:colOff>
      <xdr:row>5</xdr:row>
      <xdr:rowOff>66675</xdr:rowOff>
    </xdr:to>
    <xdr:grpSp>
      <xdr:nvGrpSpPr>
        <xdr:cNvPr id="8350" name="Group 4"/>
        <xdr:cNvGrpSpPr>
          <a:grpSpLocks/>
        </xdr:cNvGrpSpPr>
      </xdr:nvGrpSpPr>
      <xdr:grpSpPr bwMode="auto">
        <a:xfrm>
          <a:off x="2171700" y="285750"/>
          <a:ext cx="4229100" cy="495300"/>
          <a:chOff x="198" y="26"/>
          <a:chExt cx="386" cy="46"/>
        </a:xfrm>
      </xdr:grpSpPr>
      <xdr:pic>
        <xdr:nvPicPr>
          <xdr:cNvPr id="8351"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8" y="29"/>
            <a:ext cx="55" cy="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8195" name="Text Box 3"/>
          <xdr:cNvSpPr txBox="1">
            <a:spLocks noChangeArrowheads="1"/>
          </xdr:cNvSpPr>
        </xdr:nvSpPr>
        <xdr:spPr bwMode="auto">
          <a:xfrm>
            <a:off x="260" y="26"/>
            <a:ext cx="324" cy="46"/>
          </a:xfrm>
          <a:prstGeom prst="rect">
            <a:avLst/>
          </a:prstGeom>
          <a:solidFill>
            <a:srgbClr val="FFFFFF"/>
          </a:solidFill>
          <a:ln w="9525">
            <a:noFill/>
            <a:miter lim="800000"/>
            <a:headEnd/>
            <a:tailEnd/>
          </a:ln>
        </xdr:spPr>
        <xdr:txBody>
          <a:bodyPr vertOverflow="clip" wrap="square" lIns="45720" tIns="41148" rIns="0" bIns="0" anchor="t" upright="1"/>
          <a:lstStyle/>
          <a:p>
            <a:pPr algn="l" rtl="0">
              <a:defRPr sz="1000"/>
            </a:pPr>
            <a:r>
              <a:rPr lang="zh-TW" altLang="en-US" sz="1800" b="1" i="0" u="none" strike="noStrike" baseline="0">
                <a:solidFill>
                  <a:srgbClr val="000000"/>
                </a:solidFill>
                <a:latin typeface="標楷體"/>
                <a:ea typeface="標楷體"/>
              </a:rPr>
              <a:t>其他交易條件</a:t>
            </a: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228600</xdr:colOff>
      <xdr:row>1</xdr:row>
      <xdr:rowOff>104775</xdr:rowOff>
    </xdr:from>
    <xdr:to>
      <xdr:col>9</xdr:col>
      <xdr:colOff>342900</xdr:colOff>
      <xdr:row>1</xdr:row>
      <xdr:rowOff>600075</xdr:rowOff>
    </xdr:to>
    <xdr:grpSp>
      <xdr:nvGrpSpPr>
        <xdr:cNvPr id="15517" name="Group 1"/>
        <xdr:cNvGrpSpPr>
          <a:grpSpLocks/>
        </xdr:cNvGrpSpPr>
      </xdr:nvGrpSpPr>
      <xdr:grpSpPr bwMode="auto">
        <a:xfrm>
          <a:off x="1485900" y="320675"/>
          <a:ext cx="4229100" cy="495300"/>
          <a:chOff x="198" y="26"/>
          <a:chExt cx="386" cy="46"/>
        </a:xfrm>
      </xdr:grpSpPr>
      <xdr:pic>
        <xdr:nvPicPr>
          <xdr:cNvPr id="15518"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8" y="29"/>
            <a:ext cx="55" cy="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5363" name="Text Box 3"/>
          <xdr:cNvSpPr txBox="1">
            <a:spLocks noChangeArrowheads="1"/>
          </xdr:cNvSpPr>
        </xdr:nvSpPr>
        <xdr:spPr bwMode="auto">
          <a:xfrm>
            <a:off x="260" y="26"/>
            <a:ext cx="324" cy="46"/>
          </a:xfrm>
          <a:prstGeom prst="rect">
            <a:avLst/>
          </a:prstGeom>
          <a:solidFill>
            <a:srgbClr val="FFFFFF"/>
          </a:solidFill>
          <a:ln w="9525">
            <a:noFill/>
            <a:miter lim="800000"/>
            <a:headEnd/>
            <a:tailEnd/>
          </a:ln>
        </xdr:spPr>
        <xdr:txBody>
          <a:bodyPr vertOverflow="clip" wrap="square" lIns="45720" tIns="45720" rIns="0" bIns="0" anchor="t" upright="1"/>
          <a:lstStyle/>
          <a:p>
            <a:pPr algn="l" rtl="0">
              <a:defRPr sz="1000"/>
            </a:pPr>
            <a:r>
              <a:rPr lang="zh-TW" altLang="en-US" sz="2200" b="1" i="0" u="none" strike="noStrike" baseline="0">
                <a:solidFill>
                  <a:srgbClr val="000000"/>
                </a:solidFill>
                <a:latin typeface="標楷體"/>
                <a:ea typeface="標楷體"/>
              </a:rPr>
              <a:t>相關稅費及服務費項目</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1266825</xdr:colOff>
      <xdr:row>1</xdr:row>
      <xdr:rowOff>104775</xdr:rowOff>
    </xdr:from>
    <xdr:to>
      <xdr:col>2</xdr:col>
      <xdr:colOff>4286250</xdr:colOff>
      <xdr:row>1</xdr:row>
      <xdr:rowOff>600075</xdr:rowOff>
    </xdr:to>
    <xdr:grpSp>
      <xdr:nvGrpSpPr>
        <xdr:cNvPr id="16541" name="Group 1"/>
        <xdr:cNvGrpSpPr>
          <a:grpSpLocks/>
        </xdr:cNvGrpSpPr>
      </xdr:nvGrpSpPr>
      <xdr:grpSpPr bwMode="auto">
        <a:xfrm>
          <a:off x="1838325" y="320675"/>
          <a:ext cx="3019425" cy="495300"/>
          <a:chOff x="198" y="26"/>
          <a:chExt cx="386" cy="46"/>
        </a:xfrm>
      </xdr:grpSpPr>
      <xdr:pic>
        <xdr:nvPicPr>
          <xdr:cNvPr id="16542"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8" y="29"/>
            <a:ext cx="55" cy="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6387" name="Text Box 3"/>
          <xdr:cNvSpPr txBox="1">
            <a:spLocks noChangeArrowheads="1"/>
          </xdr:cNvSpPr>
        </xdr:nvSpPr>
        <xdr:spPr bwMode="auto">
          <a:xfrm>
            <a:off x="260" y="26"/>
            <a:ext cx="324" cy="46"/>
          </a:xfrm>
          <a:prstGeom prst="rect">
            <a:avLst/>
          </a:prstGeom>
          <a:solidFill>
            <a:srgbClr val="FFFFFF"/>
          </a:solidFill>
          <a:ln w="9525">
            <a:noFill/>
            <a:miter lim="800000"/>
            <a:headEnd/>
            <a:tailEnd/>
          </a:ln>
        </xdr:spPr>
        <xdr:txBody>
          <a:bodyPr vertOverflow="clip" wrap="square" lIns="45720" tIns="45720" rIns="0" bIns="0" anchor="t" upright="1"/>
          <a:lstStyle/>
          <a:p>
            <a:pPr algn="l" rtl="0">
              <a:defRPr sz="1000"/>
            </a:pPr>
            <a:r>
              <a:rPr lang="zh-TW" altLang="en-US" sz="2200" b="1" i="0" u="none" strike="noStrike" baseline="0">
                <a:solidFill>
                  <a:srgbClr val="000000"/>
                </a:solidFill>
                <a:latin typeface="標楷體"/>
                <a:ea typeface="標楷體"/>
              </a:rPr>
              <a:t>產權相關注意事項</a:t>
            </a:r>
          </a:p>
        </xdr:txBody>
      </xdr:sp>
    </xdr:grp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X75"/>
  <sheetViews>
    <sheetView topLeftCell="A19" zoomScale="50" workbookViewId="0">
      <selection activeCell="V69" sqref="V69"/>
    </sheetView>
  </sheetViews>
  <sheetFormatPr defaultColWidth="1.875" defaultRowHeight="11.25" customHeight="1"/>
  <cols>
    <col min="1" max="16384" width="1.875" style="43"/>
  </cols>
  <sheetData>
    <row r="1" spans="2:50" ht="11.25" customHeight="1" thickBot="1"/>
    <row r="2" spans="2:50" ht="11.25" customHeight="1" thickTop="1">
      <c r="B2" s="52"/>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4"/>
    </row>
    <row r="3" spans="2:50" ht="11.25" customHeight="1">
      <c r="B3" s="55"/>
      <c r="AX3" s="56"/>
    </row>
    <row r="4" spans="2:50" ht="11.25" customHeight="1">
      <c r="B4" s="55"/>
      <c r="AX4" s="56"/>
    </row>
    <row r="5" spans="2:50" ht="11.25" customHeight="1">
      <c r="B5" s="55"/>
      <c r="AX5" s="56"/>
    </row>
    <row r="6" spans="2:50" ht="11.25" customHeight="1">
      <c r="B6" s="55"/>
      <c r="AX6" s="56"/>
    </row>
    <row r="7" spans="2:50" ht="11.25" customHeight="1">
      <c r="B7" s="55"/>
      <c r="AX7" s="56"/>
    </row>
    <row r="8" spans="2:50" ht="11.25" customHeight="1">
      <c r="B8" s="55"/>
      <c r="AX8" s="56"/>
    </row>
    <row r="9" spans="2:50" ht="11.25" customHeight="1">
      <c r="B9" s="55"/>
      <c r="AX9" s="56"/>
    </row>
    <row r="10" spans="2:50" ht="11.25" customHeight="1">
      <c r="B10" s="55"/>
      <c r="AX10" s="56"/>
    </row>
    <row r="11" spans="2:50" ht="11.25" customHeight="1">
      <c r="B11" s="55"/>
      <c r="AX11" s="56"/>
    </row>
    <row r="12" spans="2:50" ht="11.25" customHeight="1">
      <c r="B12" s="55"/>
      <c r="AX12" s="56"/>
    </row>
    <row r="13" spans="2:50" ht="11.25" customHeight="1">
      <c r="B13" s="55"/>
      <c r="AX13" s="56"/>
    </row>
    <row r="14" spans="2:50" ht="11.25" customHeight="1">
      <c r="B14" s="55"/>
      <c r="AX14" s="56"/>
    </row>
    <row r="15" spans="2:50" ht="11.25" customHeight="1">
      <c r="B15" s="55"/>
      <c r="AX15" s="56"/>
    </row>
    <row r="16" spans="2:50" ht="11.25" customHeight="1">
      <c r="B16" s="55"/>
      <c r="AX16" s="56"/>
    </row>
    <row r="17" spans="2:50" ht="11.25" customHeight="1">
      <c r="B17" s="55"/>
      <c r="AX17" s="56"/>
    </row>
    <row r="18" spans="2:50" ht="11.25" customHeight="1">
      <c r="B18" s="55"/>
      <c r="AX18" s="56"/>
    </row>
    <row r="19" spans="2:50" ht="11.25" customHeight="1">
      <c r="B19" s="55"/>
      <c r="AX19" s="56"/>
    </row>
    <row r="20" spans="2:50" ht="11.25" customHeight="1">
      <c r="B20" s="55"/>
      <c r="AX20" s="56"/>
    </row>
    <row r="21" spans="2:50" ht="11.25" customHeight="1">
      <c r="B21" s="55"/>
      <c r="AX21" s="56"/>
    </row>
    <row r="22" spans="2:50" ht="11.25" customHeight="1">
      <c r="B22" s="55"/>
      <c r="AX22" s="56"/>
    </row>
    <row r="23" spans="2:50" ht="11.25" customHeight="1">
      <c r="B23" s="55"/>
      <c r="AX23" s="56"/>
    </row>
    <row r="24" spans="2:50" ht="11.25" customHeight="1">
      <c r="B24" s="55"/>
      <c r="AX24" s="56"/>
    </row>
    <row r="25" spans="2:50" ht="11.25" customHeight="1">
      <c r="B25" s="173" t="s">
        <v>159</v>
      </c>
      <c r="C25" s="174"/>
      <c r="D25" s="174"/>
      <c r="E25" s="174"/>
      <c r="F25" s="174"/>
      <c r="G25" s="174"/>
      <c r="H25" s="174"/>
      <c r="I25" s="174"/>
      <c r="J25" s="174"/>
      <c r="K25" s="174"/>
      <c r="L25" s="174"/>
      <c r="M25" s="174"/>
      <c r="N25" s="174"/>
      <c r="O25" s="174"/>
      <c r="P25" s="174"/>
      <c r="Q25" s="174"/>
      <c r="R25" s="174"/>
      <c r="S25" s="174"/>
      <c r="T25" s="175" t="str">
        <f>'秘書-input'!B1</f>
        <v>西門黃金店面</v>
      </c>
      <c r="U25" s="175"/>
      <c r="V25" s="175"/>
      <c r="W25" s="175"/>
      <c r="X25" s="175"/>
      <c r="Y25" s="175"/>
      <c r="Z25" s="175"/>
      <c r="AA25" s="175"/>
      <c r="AB25" s="175"/>
      <c r="AC25" s="175"/>
      <c r="AD25" s="175"/>
      <c r="AE25" s="175"/>
      <c r="AF25" s="175"/>
      <c r="AG25" s="175"/>
      <c r="AH25" s="175"/>
      <c r="AI25" s="175"/>
      <c r="AJ25" s="175"/>
      <c r="AK25" s="175"/>
      <c r="AL25" s="175"/>
      <c r="AM25" s="175"/>
      <c r="AN25" s="175"/>
      <c r="AO25" s="175"/>
      <c r="AP25" s="175"/>
      <c r="AQ25" s="175"/>
      <c r="AR25" s="175"/>
      <c r="AS25" s="175"/>
      <c r="AT25" s="175"/>
      <c r="AU25" s="175"/>
      <c r="AV25" s="175"/>
      <c r="AW25" s="175"/>
      <c r="AX25" s="176"/>
    </row>
    <row r="26" spans="2:50" ht="11.25" customHeight="1">
      <c r="B26" s="173"/>
      <c r="C26" s="174"/>
      <c r="D26" s="174"/>
      <c r="E26" s="174"/>
      <c r="F26" s="174"/>
      <c r="G26" s="174"/>
      <c r="H26" s="174"/>
      <c r="I26" s="174"/>
      <c r="J26" s="174"/>
      <c r="K26" s="174"/>
      <c r="L26" s="174"/>
      <c r="M26" s="174"/>
      <c r="N26" s="174"/>
      <c r="O26" s="174"/>
      <c r="P26" s="174"/>
      <c r="Q26" s="174"/>
      <c r="R26" s="174"/>
      <c r="S26" s="174"/>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6"/>
    </row>
    <row r="27" spans="2:50" ht="11.25" customHeight="1">
      <c r="B27" s="173"/>
      <c r="C27" s="174"/>
      <c r="D27" s="174"/>
      <c r="E27" s="174"/>
      <c r="F27" s="174"/>
      <c r="G27" s="174"/>
      <c r="H27" s="174"/>
      <c r="I27" s="174"/>
      <c r="J27" s="174"/>
      <c r="K27" s="174"/>
      <c r="L27" s="174"/>
      <c r="M27" s="174"/>
      <c r="N27" s="174"/>
      <c r="O27" s="174"/>
      <c r="P27" s="174"/>
      <c r="Q27" s="174"/>
      <c r="R27" s="174"/>
      <c r="S27" s="174"/>
      <c r="T27" s="175"/>
      <c r="U27" s="175"/>
      <c r="V27" s="175"/>
      <c r="W27" s="175"/>
      <c r="X27" s="175"/>
      <c r="Y27" s="175"/>
      <c r="Z27" s="175"/>
      <c r="AA27" s="175"/>
      <c r="AB27" s="175"/>
      <c r="AC27" s="175"/>
      <c r="AD27" s="175"/>
      <c r="AE27" s="175"/>
      <c r="AF27" s="175"/>
      <c r="AG27" s="175"/>
      <c r="AH27" s="175"/>
      <c r="AI27" s="175"/>
      <c r="AJ27" s="175"/>
      <c r="AK27" s="175"/>
      <c r="AL27" s="175"/>
      <c r="AM27" s="175"/>
      <c r="AN27" s="175"/>
      <c r="AO27" s="175"/>
      <c r="AP27" s="175"/>
      <c r="AQ27" s="175"/>
      <c r="AR27" s="175"/>
      <c r="AS27" s="175"/>
      <c r="AT27" s="175"/>
      <c r="AU27" s="175"/>
      <c r="AV27" s="175"/>
      <c r="AW27" s="175"/>
      <c r="AX27" s="176"/>
    </row>
    <row r="28" spans="2:50" ht="11.25" customHeight="1">
      <c r="B28" s="173"/>
      <c r="C28" s="174"/>
      <c r="D28" s="174"/>
      <c r="E28" s="174"/>
      <c r="F28" s="174"/>
      <c r="G28" s="174"/>
      <c r="H28" s="174"/>
      <c r="I28" s="174"/>
      <c r="J28" s="174"/>
      <c r="K28" s="174"/>
      <c r="L28" s="174"/>
      <c r="M28" s="174"/>
      <c r="N28" s="174"/>
      <c r="O28" s="174"/>
      <c r="P28" s="174"/>
      <c r="Q28" s="174"/>
      <c r="R28" s="174"/>
      <c r="S28" s="174"/>
      <c r="T28" s="175"/>
      <c r="U28" s="175"/>
      <c r="V28" s="175"/>
      <c r="W28" s="175"/>
      <c r="X28" s="175"/>
      <c r="Y28" s="175"/>
      <c r="Z28" s="175"/>
      <c r="AA28" s="175"/>
      <c r="AB28" s="175"/>
      <c r="AC28" s="175"/>
      <c r="AD28" s="175"/>
      <c r="AE28" s="175"/>
      <c r="AF28" s="175"/>
      <c r="AG28" s="175"/>
      <c r="AH28" s="175"/>
      <c r="AI28" s="175"/>
      <c r="AJ28" s="175"/>
      <c r="AK28" s="175"/>
      <c r="AL28" s="175"/>
      <c r="AM28" s="175"/>
      <c r="AN28" s="175"/>
      <c r="AO28" s="175"/>
      <c r="AP28" s="175"/>
      <c r="AQ28" s="175"/>
      <c r="AR28" s="175"/>
      <c r="AS28" s="175"/>
      <c r="AT28" s="175"/>
      <c r="AU28" s="175"/>
      <c r="AV28" s="175"/>
      <c r="AW28" s="175"/>
      <c r="AX28" s="176"/>
    </row>
    <row r="29" spans="2:50" ht="11.25" customHeight="1">
      <c r="B29" s="173"/>
      <c r="C29" s="174"/>
      <c r="D29" s="174"/>
      <c r="E29" s="174"/>
      <c r="F29" s="174"/>
      <c r="G29" s="174"/>
      <c r="H29" s="174"/>
      <c r="I29" s="174"/>
      <c r="J29" s="174"/>
      <c r="K29" s="174"/>
      <c r="L29" s="174"/>
      <c r="M29" s="174"/>
      <c r="N29" s="174"/>
      <c r="O29" s="174"/>
      <c r="P29" s="174"/>
      <c r="Q29" s="174"/>
      <c r="R29" s="174"/>
      <c r="S29" s="174"/>
      <c r="T29" s="175"/>
      <c r="U29" s="175"/>
      <c r="V29" s="175"/>
      <c r="W29" s="175"/>
      <c r="X29" s="175"/>
      <c r="Y29" s="175"/>
      <c r="Z29" s="175"/>
      <c r="AA29" s="175"/>
      <c r="AB29" s="175"/>
      <c r="AC29" s="175"/>
      <c r="AD29" s="175"/>
      <c r="AE29" s="175"/>
      <c r="AF29" s="175"/>
      <c r="AG29" s="175"/>
      <c r="AH29" s="175"/>
      <c r="AI29" s="175"/>
      <c r="AJ29" s="175"/>
      <c r="AK29" s="175"/>
      <c r="AL29" s="175"/>
      <c r="AM29" s="175"/>
      <c r="AN29" s="175"/>
      <c r="AO29" s="175"/>
      <c r="AP29" s="175"/>
      <c r="AQ29" s="175"/>
      <c r="AR29" s="175"/>
      <c r="AS29" s="175"/>
      <c r="AT29" s="175"/>
      <c r="AU29" s="175"/>
      <c r="AV29" s="175"/>
      <c r="AW29" s="175"/>
      <c r="AX29" s="176"/>
    </row>
    <row r="30" spans="2:50" ht="11.25" customHeight="1">
      <c r="B30" s="95"/>
      <c r="C30" s="96"/>
      <c r="D30" s="96"/>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96"/>
      <c r="AH30" s="96"/>
      <c r="AI30" s="96"/>
      <c r="AJ30" s="96"/>
      <c r="AK30" s="96"/>
      <c r="AL30" s="96"/>
      <c r="AM30" s="96"/>
      <c r="AN30" s="96"/>
      <c r="AO30" s="96"/>
      <c r="AP30" s="96"/>
      <c r="AQ30" s="96"/>
      <c r="AR30" s="96"/>
      <c r="AS30" s="96"/>
      <c r="AT30" s="96"/>
      <c r="AU30" s="96"/>
      <c r="AV30" s="96"/>
      <c r="AW30" s="96"/>
      <c r="AX30" s="97"/>
    </row>
    <row r="31" spans="2:50" ht="11.25" customHeight="1">
      <c r="B31" s="95"/>
      <c r="C31" s="96"/>
      <c r="D31" s="96"/>
      <c r="E31" s="96"/>
      <c r="F31" s="96"/>
      <c r="G31" s="96"/>
      <c r="H31" s="96"/>
      <c r="I31" s="96"/>
      <c r="J31" s="96"/>
      <c r="K31" s="96"/>
      <c r="L31" s="96"/>
      <c r="M31" s="96"/>
      <c r="N31" s="96"/>
      <c r="O31" s="96"/>
      <c r="P31" s="96"/>
      <c r="Q31" s="96"/>
      <c r="R31" s="96"/>
      <c r="S31" s="96"/>
      <c r="T31" s="96"/>
      <c r="U31" s="96"/>
      <c r="V31" s="96"/>
      <c r="W31" s="96"/>
      <c r="X31" s="96"/>
      <c r="Y31" s="96"/>
      <c r="Z31" s="96"/>
      <c r="AA31" s="96"/>
      <c r="AB31" s="96"/>
      <c r="AC31" s="96"/>
      <c r="AD31" s="96"/>
      <c r="AE31" s="96"/>
      <c r="AF31" s="96"/>
      <c r="AG31" s="96"/>
      <c r="AH31" s="96"/>
      <c r="AI31" s="96"/>
      <c r="AJ31" s="96"/>
      <c r="AK31" s="96"/>
      <c r="AL31" s="96"/>
      <c r="AM31" s="96"/>
      <c r="AN31" s="96"/>
      <c r="AO31" s="96"/>
      <c r="AP31" s="96"/>
      <c r="AQ31" s="96"/>
      <c r="AR31" s="96"/>
      <c r="AS31" s="96"/>
      <c r="AT31" s="96"/>
      <c r="AU31" s="96"/>
      <c r="AV31" s="96"/>
      <c r="AW31" s="96"/>
      <c r="AX31" s="97"/>
    </row>
    <row r="32" spans="2:50" ht="11.25" customHeight="1">
      <c r="B32" s="95"/>
      <c r="C32" s="96"/>
      <c r="D32" s="96"/>
      <c r="E32" s="96"/>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96"/>
      <c r="AH32" s="96"/>
      <c r="AI32" s="96"/>
      <c r="AJ32" s="96"/>
      <c r="AK32" s="96"/>
      <c r="AL32" s="96"/>
      <c r="AM32" s="96"/>
      <c r="AN32" s="96"/>
      <c r="AO32" s="96"/>
      <c r="AP32" s="96"/>
      <c r="AQ32" s="96"/>
      <c r="AR32" s="96"/>
      <c r="AS32" s="96"/>
      <c r="AT32" s="96"/>
      <c r="AU32" s="96"/>
      <c r="AV32" s="96"/>
      <c r="AW32" s="96"/>
      <c r="AX32" s="97"/>
    </row>
    <row r="33" spans="2:50" ht="11.25" customHeight="1">
      <c r="B33" s="95"/>
      <c r="C33" s="96"/>
      <c r="D33" s="96"/>
      <c r="E33" s="96"/>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96"/>
      <c r="AH33" s="96"/>
      <c r="AI33" s="96"/>
      <c r="AJ33" s="96"/>
      <c r="AK33" s="96"/>
      <c r="AL33" s="96"/>
      <c r="AM33" s="96"/>
      <c r="AN33" s="96"/>
      <c r="AO33" s="96"/>
      <c r="AP33" s="96"/>
      <c r="AQ33" s="96"/>
      <c r="AR33" s="96"/>
      <c r="AS33" s="96"/>
      <c r="AT33" s="96"/>
      <c r="AU33" s="96"/>
      <c r="AV33" s="96"/>
      <c r="AW33" s="96"/>
      <c r="AX33" s="97"/>
    </row>
    <row r="34" spans="2:50" ht="11.25" customHeight="1">
      <c r="B34" s="95"/>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6"/>
      <c r="AD34" s="96"/>
      <c r="AE34" s="96"/>
      <c r="AF34" s="96"/>
      <c r="AG34" s="96"/>
      <c r="AH34" s="96"/>
      <c r="AI34" s="96"/>
      <c r="AJ34" s="96"/>
      <c r="AK34" s="96"/>
      <c r="AL34" s="96"/>
      <c r="AM34" s="96"/>
      <c r="AN34" s="96"/>
      <c r="AO34" s="96"/>
      <c r="AP34" s="96"/>
      <c r="AQ34" s="96"/>
      <c r="AR34" s="96"/>
      <c r="AS34" s="96"/>
      <c r="AT34" s="96"/>
      <c r="AU34" s="96"/>
      <c r="AV34" s="96"/>
      <c r="AW34" s="96"/>
      <c r="AX34" s="97"/>
    </row>
    <row r="35" spans="2:50" ht="11.25" customHeight="1">
      <c r="B35" s="98"/>
      <c r="C35" s="99"/>
      <c r="D35" s="99"/>
      <c r="E35" s="99"/>
      <c r="F35" s="99"/>
      <c r="G35" s="99"/>
      <c r="H35" s="99"/>
      <c r="I35" s="99"/>
      <c r="J35" s="99"/>
      <c r="K35" s="99"/>
      <c r="L35" s="99"/>
      <c r="M35" s="99"/>
      <c r="N35" s="99"/>
      <c r="O35" s="99"/>
      <c r="P35" s="99"/>
      <c r="Q35" s="99"/>
      <c r="R35" s="99"/>
      <c r="S35" s="99"/>
      <c r="T35" s="99"/>
      <c r="U35" s="99"/>
      <c r="V35" s="99"/>
      <c r="W35" s="99"/>
      <c r="X35" s="99"/>
      <c r="Y35" s="99"/>
      <c r="Z35" s="99"/>
      <c r="AA35" s="99"/>
      <c r="AB35" s="99"/>
      <c r="AC35" s="99"/>
      <c r="AD35" s="99"/>
      <c r="AE35" s="99"/>
      <c r="AF35" s="99"/>
      <c r="AG35" s="99"/>
      <c r="AH35" s="99"/>
      <c r="AI35" s="99"/>
      <c r="AJ35" s="99"/>
      <c r="AK35" s="99"/>
      <c r="AL35" s="99"/>
      <c r="AM35" s="99"/>
      <c r="AN35" s="99"/>
      <c r="AO35" s="99"/>
      <c r="AP35" s="99"/>
      <c r="AQ35" s="99"/>
      <c r="AR35" s="99"/>
      <c r="AS35" s="99"/>
      <c r="AT35" s="99"/>
      <c r="AU35" s="99"/>
      <c r="AV35" s="99"/>
      <c r="AW35" s="99"/>
      <c r="AX35" s="100"/>
    </row>
    <row r="36" spans="2:50" ht="11.25" customHeight="1">
      <c r="B36" s="98"/>
      <c r="C36" s="99"/>
      <c r="D36" s="99"/>
      <c r="E36" s="99"/>
      <c r="F36" s="99"/>
      <c r="G36" s="99"/>
      <c r="H36" s="99"/>
      <c r="I36" s="99"/>
      <c r="J36" s="99"/>
      <c r="K36" s="99"/>
      <c r="L36" s="99"/>
      <c r="M36" s="99"/>
      <c r="N36" s="99"/>
      <c r="O36" s="99"/>
      <c r="P36" s="99"/>
      <c r="Q36" s="99"/>
      <c r="R36" s="99"/>
      <c r="S36" s="99"/>
      <c r="T36" s="99"/>
      <c r="U36" s="99"/>
      <c r="V36" s="99"/>
      <c r="W36" s="99"/>
      <c r="X36" s="99"/>
      <c r="Y36" s="99"/>
      <c r="Z36" s="99"/>
      <c r="AA36" s="99"/>
      <c r="AB36" s="99"/>
      <c r="AC36" s="99"/>
      <c r="AD36" s="99"/>
      <c r="AE36" s="99"/>
      <c r="AF36" s="99"/>
      <c r="AG36" s="99"/>
      <c r="AH36" s="99"/>
      <c r="AI36" s="99"/>
      <c r="AJ36" s="99"/>
      <c r="AK36" s="99"/>
      <c r="AL36" s="99"/>
      <c r="AM36" s="99"/>
      <c r="AN36" s="99"/>
      <c r="AO36" s="99"/>
      <c r="AP36" s="99"/>
      <c r="AQ36" s="99"/>
      <c r="AR36" s="99"/>
      <c r="AS36" s="99"/>
      <c r="AT36" s="99"/>
      <c r="AU36" s="99"/>
      <c r="AV36" s="99"/>
      <c r="AW36" s="99"/>
      <c r="AX36" s="100"/>
    </row>
    <row r="37" spans="2:50" ht="11.25" customHeight="1">
      <c r="B37" s="98"/>
      <c r="C37" s="99"/>
      <c r="D37" s="99"/>
      <c r="E37" s="99"/>
      <c r="F37" s="99"/>
      <c r="G37" s="99"/>
      <c r="H37" s="99"/>
      <c r="I37" s="99"/>
      <c r="J37" s="99"/>
      <c r="K37" s="99"/>
      <c r="L37" s="99"/>
      <c r="M37" s="99"/>
      <c r="N37" s="99"/>
      <c r="O37" s="99"/>
      <c r="P37" s="99"/>
      <c r="Q37" s="99"/>
      <c r="R37" s="99"/>
      <c r="S37" s="99"/>
      <c r="T37" s="99"/>
      <c r="U37" s="99"/>
      <c r="V37" s="99"/>
      <c r="W37" s="99"/>
      <c r="X37" s="99"/>
      <c r="Y37" s="99"/>
      <c r="Z37" s="99"/>
      <c r="AA37" s="99"/>
      <c r="AB37" s="99"/>
      <c r="AC37" s="99"/>
      <c r="AD37" s="99"/>
      <c r="AE37" s="99"/>
      <c r="AF37" s="99"/>
      <c r="AG37" s="99"/>
      <c r="AH37" s="99"/>
      <c r="AI37" s="99"/>
      <c r="AJ37" s="99"/>
      <c r="AK37" s="99"/>
      <c r="AL37" s="99"/>
      <c r="AM37" s="99"/>
      <c r="AN37" s="99"/>
      <c r="AO37" s="99"/>
      <c r="AP37" s="99"/>
      <c r="AQ37" s="99"/>
      <c r="AR37" s="99"/>
      <c r="AS37" s="99"/>
      <c r="AT37" s="99"/>
      <c r="AU37" s="99"/>
      <c r="AV37" s="99"/>
      <c r="AW37" s="99"/>
      <c r="AX37" s="100"/>
    </row>
    <row r="38" spans="2:50" ht="11.25" customHeight="1">
      <c r="B38" s="98"/>
      <c r="C38" s="99"/>
      <c r="D38" s="99"/>
      <c r="E38" s="99"/>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100"/>
    </row>
    <row r="39" spans="2:50" ht="11.25" customHeight="1">
      <c r="B39" s="98"/>
      <c r="C39" s="99"/>
      <c r="D39" s="99"/>
      <c r="E39" s="99"/>
      <c r="F39" s="99"/>
      <c r="G39" s="99"/>
      <c r="H39" s="99"/>
      <c r="I39" s="99"/>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100"/>
    </row>
    <row r="40" spans="2:50" ht="11.25" customHeight="1">
      <c r="B40" s="55"/>
      <c r="AX40" s="56"/>
    </row>
    <row r="41" spans="2:50" ht="11.25" customHeight="1">
      <c r="B41" s="55"/>
      <c r="AX41" s="56"/>
    </row>
    <row r="42" spans="2:50" ht="11.25" customHeight="1">
      <c r="B42" s="55"/>
      <c r="AX42" s="56"/>
    </row>
    <row r="43" spans="2:50" ht="11.25" customHeight="1">
      <c r="B43" s="55"/>
      <c r="AX43" s="56"/>
    </row>
    <row r="44" spans="2:50" ht="11.25" customHeight="1">
      <c r="B44" s="55"/>
      <c r="AX44" s="56"/>
    </row>
    <row r="45" spans="2:50" ht="11.25" customHeight="1">
      <c r="B45" s="55"/>
      <c r="AX45" s="56"/>
    </row>
    <row r="46" spans="2:50" ht="11.25" customHeight="1">
      <c r="B46" s="55"/>
      <c r="AX46" s="56"/>
    </row>
    <row r="47" spans="2:50" ht="11.25" customHeight="1">
      <c r="B47" s="55"/>
      <c r="AX47" s="56"/>
    </row>
    <row r="48" spans="2:50" ht="11.25" customHeight="1">
      <c r="B48" s="55"/>
      <c r="AX48" s="56"/>
    </row>
    <row r="49" spans="1:50" ht="11.25" customHeight="1">
      <c r="B49" s="55"/>
      <c r="AX49" s="56"/>
    </row>
    <row r="50" spans="1:50" ht="11.25" customHeight="1">
      <c r="B50" s="55"/>
      <c r="AX50" s="56"/>
    </row>
    <row r="51" spans="1:50" ht="11.25" customHeight="1">
      <c r="B51" s="55"/>
      <c r="AX51" s="56"/>
    </row>
    <row r="52" spans="1:50" ht="11.25" customHeight="1">
      <c r="B52" s="177" t="s">
        <v>160</v>
      </c>
      <c r="C52" s="178"/>
      <c r="D52" s="178"/>
      <c r="E52" s="178"/>
      <c r="F52" s="178"/>
      <c r="G52" s="178"/>
      <c r="H52" s="178"/>
      <c r="I52" s="178"/>
      <c r="J52" s="178"/>
      <c r="K52" s="178"/>
      <c r="L52" s="178"/>
      <c r="M52" s="178"/>
      <c r="N52" s="178"/>
      <c r="O52" s="178"/>
      <c r="P52" s="178"/>
      <c r="Q52" s="178"/>
      <c r="R52" s="178"/>
      <c r="S52" s="178"/>
      <c r="T52" s="178"/>
      <c r="U52" s="178"/>
      <c r="V52" s="178"/>
      <c r="W52" s="178"/>
      <c r="X52" s="178"/>
      <c r="Y52" s="178"/>
      <c r="Z52" s="178"/>
      <c r="AA52" s="178"/>
      <c r="AB52" s="178"/>
      <c r="AC52" s="178"/>
      <c r="AD52" s="178"/>
      <c r="AE52" s="178"/>
      <c r="AF52" s="178"/>
      <c r="AG52" s="178"/>
      <c r="AH52" s="178"/>
      <c r="AI52" s="178"/>
      <c r="AJ52" s="178"/>
      <c r="AK52" s="178"/>
      <c r="AL52" s="178"/>
      <c r="AM52" s="178"/>
      <c r="AN52" s="178"/>
      <c r="AO52" s="178"/>
      <c r="AP52" s="178"/>
      <c r="AQ52" s="178"/>
      <c r="AR52" s="178"/>
      <c r="AS52" s="178"/>
      <c r="AT52" s="178"/>
      <c r="AU52" s="178"/>
      <c r="AV52" s="178"/>
      <c r="AW52" s="178"/>
      <c r="AX52" s="179"/>
    </row>
    <row r="53" spans="1:50" ht="11.25" customHeight="1">
      <c r="B53" s="177"/>
      <c r="C53" s="178"/>
      <c r="D53" s="178"/>
      <c r="E53" s="178"/>
      <c r="F53" s="178"/>
      <c r="G53" s="178"/>
      <c r="H53" s="178"/>
      <c r="I53" s="178"/>
      <c r="J53" s="178"/>
      <c r="K53" s="178"/>
      <c r="L53" s="178"/>
      <c r="M53" s="178"/>
      <c r="N53" s="178"/>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9"/>
    </row>
    <row r="54" spans="1:50" ht="11.25" customHeight="1">
      <c r="B54" s="177"/>
      <c r="C54" s="178"/>
      <c r="D54" s="178"/>
      <c r="E54" s="178"/>
      <c r="F54" s="178"/>
      <c r="G54" s="178"/>
      <c r="H54" s="178"/>
      <c r="I54" s="178"/>
      <c r="J54" s="178"/>
      <c r="K54" s="178"/>
      <c r="L54" s="178"/>
      <c r="M54" s="178"/>
      <c r="N54" s="178"/>
      <c r="O54" s="178"/>
      <c r="P54" s="178"/>
      <c r="Q54" s="178"/>
      <c r="R54" s="178"/>
      <c r="S54" s="178"/>
      <c r="T54" s="178"/>
      <c r="U54" s="178"/>
      <c r="V54" s="178"/>
      <c r="W54" s="178"/>
      <c r="X54" s="178"/>
      <c r="Y54" s="178"/>
      <c r="Z54" s="178"/>
      <c r="AA54" s="178"/>
      <c r="AB54" s="178"/>
      <c r="AC54" s="178"/>
      <c r="AD54" s="178"/>
      <c r="AE54" s="178"/>
      <c r="AF54" s="178"/>
      <c r="AG54" s="178"/>
      <c r="AH54" s="178"/>
      <c r="AI54" s="178"/>
      <c r="AJ54" s="178"/>
      <c r="AK54" s="178"/>
      <c r="AL54" s="178"/>
      <c r="AM54" s="178"/>
      <c r="AN54" s="178"/>
      <c r="AO54" s="178"/>
      <c r="AP54" s="178"/>
      <c r="AQ54" s="178"/>
      <c r="AR54" s="178"/>
      <c r="AS54" s="178"/>
      <c r="AT54" s="178"/>
      <c r="AU54" s="178"/>
      <c r="AV54" s="178"/>
      <c r="AW54" s="178"/>
      <c r="AX54" s="179"/>
    </row>
    <row r="55" spans="1:50" ht="11.25" customHeight="1">
      <c r="B55" s="177"/>
      <c r="C55" s="178"/>
      <c r="D55" s="178"/>
      <c r="E55" s="178"/>
      <c r="F55" s="178"/>
      <c r="G55" s="178"/>
      <c r="H55" s="178"/>
      <c r="I55" s="178"/>
      <c r="J55" s="178"/>
      <c r="K55" s="178"/>
      <c r="L55" s="178"/>
      <c r="M55" s="178"/>
      <c r="N55" s="178"/>
      <c r="O55" s="178"/>
      <c r="P55" s="178"/>
      <c r="Q55" s="178"/>
      <c r="R55" s="178"/>
      <c r="S55" s="178"/>
      <c r="T55" s="178"/>
      <c r="U55" s="178"/>
      <c r="V55" s="178"/>
      <c r="W55" s="178"/>
      <c r="X55" s="178"/>
      <c r="Y55" s="178"/>
      <c r="Z55" s="178"/>
      <c r="AA55" s="178"/>
      <c r="AB55" s="178"/>
      <c r="AC55" s="178"/>
      <c r="AD55" s="178"/>
      <c r="AE55" s="178"/>
      <c r="AF55" s="178"/>
      <c r="AG55" s="178"/>
      <c r="AH55" s="178"/>
      <c r="AI55" s="178"/>
      <c r="AJ55" s="178"/>
      <c r="AK55" s="178"/>
      <c r="AL55" s="178"/>
      <c r="AM55" s="178"/>
      <c r="AN55" s="178"/>
      <c r="AO55" s="178"/>
      <c r="AP55" s="178"/>
      <c r="AQ55" s="178"/>
      <c r="AR55" s="178"/>
      <c r="AS55" s="178"/>
      <c r="AT55" s="178"/>
      <c r="AU55" s="178"/>
      <c r="AV55" s="178"/>
      <c r="AW55" s="178"/>
      <c r="AX55" s="179"/>
    </row>
    <row r="56" spans="1:50" ht="11.25" customHeight="1">
      <c r="B56" s="177"/>
      <c r="C56" s="178"/>
      <c r="D56" s="178"/>
      <c r="E56" s="178"/>
      <c r="F56" s="178"/>
      <c r="G56" s="178"/>
      <c r="H56" s="178"/>
      <c r="I56" s="178"/>
      <c r="J56" s="178"/>
      <c r="K56" s="178"/>
      <c r="L56" s="178"/>
      <c r="M56" s="178"/>
      <c r="N56" s="178"/>
      <c r="O56" s="178"/>
      <c r="P56" s="178"/>
      <c r="Q56" s="178"/>
      <c r="R56" s="178"/>
      <c r="S56" s="178"/>
      <c r="T56" s="178"/>
      <c r="U56" s="178"/>
      <c r="V56" s="178"/>
      <c r="W56" s="178"/>
      <c r="X56" s="178"/>
      <c r="Y56" s="178"/>
      <c r="Z56" s="178"/>
      <c r="AA56" s="178"/>
      <c r="AB56" s="178"/>
      <c r="AC56" s="178"/>
      <c r="AD56" s="178"/>
      <c r="AE56" s="178"/>
      <c r="AF56" s="178"/>
      <c r="AG56" s="178"/>
      <c r="AH56" s="178"/>
      <c r="AI56" s="178"/>
      <c r="AJ56" s="178"/>
      <c r="AK56" s="178"/>
      <c r="AL56" s="178"/>
      <c r="AM56" s="178"/>
      <c r="AN56" s="178"/>
      <c r="AO56" s="178"/>
      <c r="AP56" s="178"/>
      <c r="AQ56" s="178"/>
      <c r="AR56" s="178"/>
      <c r="AS56" s="178"/>
      <c r="AT56" s="178"/>
      <c r="AU56" s="178"/>
      <c r="AV56" s="178"/>
      <c r="AW56" s="178"/>
      <c r="AX56" s="179"/>
    </row>
    <row r="57" spans="1:50" ht="11.25" customHeight="1">
      <c r="A57" s="56"/>
      <c r="B57" s="180" t="str">
        <f>'秘書-input'!B3</f>
        <v>台北市萬華區</v>
      </c>
      <c r="C57" s="181"/>
      <c r="D57" s="181"/>
      <c r="E57" s="181"/>
      <c r="F57" s="181"/>
      <c r="G57" s="181"/>
      <c r="H57" s="181"/>
      <c r="I57" s="181"/>
      <c r="J57" s="181"/>
      <c r="K57" s="181"/>
      <c r="L57" s="181"/>
      <c r="M57" s="181"/>
      <c r="N57" s="181"/>
      <c r="O57" s="181" t="str">
        <f>'秘書-input'!C4</f>
        <v>成都路</v>
      </c>
      <c r="P57" s="181"/>
      <c r="Q57" s="181"/>
      <c r="R57" s="181"/>
      <c r="S57" s="181"/>
      <c r="T57" s="181"/>
      <c r="U57" s="181"/>
      <c r="V57" s="181"/>
      <c r="W57" s="181"/>
      <c r="X57" s="181"/>
      <c r="Y57" s="181"/>
      <c r="Z57" s="181"/>
      <c r="AA57" s="181"/>
      <c r="AB57" s="181"/>
      <c r="AC57" s="181"/>
      <c r="AD57" s="181"/>
      <c r="AE57" s="181"/>
      <c r="AF57" s="181"/>
      <c r="AG57" s="181"/>
      <c r="AH57" s="181"/>
      <c r="AI57" s="181"/>
      <c r="AJ57" s="181"/>
      <c r="AK57" s="181"/>
      <c r="AL57" s="181"/>
      <c r="AM57" s="181"/>
      <c r="AN57" s="181" t="str">
        <f>'秘書-input'!D4</f>
        <v>92號</v>
      </c>
      <c r="AO57" s="181"/>
      <c r="AP57" s="181"/>
      <c r="AQ57" s="181"/>
      <c r="AR57" s="181"/>
      <c r="AS57" s="181"/>
      <c r="AT57" s="181"/>
      <c r="AU57" s="181"/>
      <c r="AV57" s="181"/>
      <c r="AW57" s="181"/>
      <c r="AX57" s="182"/>
    </row>
    <row r="58" spans="1:50" ht="11.25" customHeight="1">
      <c r="A58" s="56"/>
      <c r="B58" s="180"/>
      <c r="C58" s="181"/>
      <c r="D58" s="181"/>
      <c r="E58" s="181"/>
      <c r="F58" s="181"/>
      <c r="G58" s="181"/>
      <c r="H58" s="181"/>
      <c r="I58" s="181"/>
      <c r="J58" s="181"/>
      <c r="K58" s="181"/>
      <c r="L58" s="181"/>
      <c r="M58" s="181"/>
      <c r="N58" s="181"/>
      <c r="O58" s="181"/>
      <c r="P58" s="181"/>
      <c r="Q58" s="181"/>
      <c r="R58" s="181"/>
      <c r="S58" s="181"/>
      <c r="T58" s="181"/>
      <c r="U58" s="181"/>
      <c r="V58" s="181"/>
      <c r="W58" s="181"/>
      <c r="X58" s="181"/>
      <c r="Y58" s="181"/>
      <c r="Z58" s="181"/>
      <c r="AA58" s="181"/>
      <c r="AB58" s="181"/>
      <c r="AC58" s="181"/>
      <c r="AD58" s="181"/>
      <c r="AE58" s="181"/>
      <c r="AF58" s="181"/>
      <c r="AG58" s="181"/>
      <c r="AH58" s="181"/>
      <c r="AI58" s="181"/>
      <c r="AJ58" s="181"/>
      <c r="AK58" s="181"/>
      <c r="AL58" s="181"/>
      <c r="AM58" s="181"/>
      <c r="AN58" s="181"/>
      <c r="AO58" s="181"/>
      <c r="AP58" s="181"/>
      <c r="AQ58" s="181"/>
      <c r="AR58" s="181"/>
      <c r="AS58" s="181"/>
      <c r="AT58" s="181"/>
      <c r="AU58" s="181"/>
      <c r="AV58" s="181"/>
      <c r="AW58" s="181"/>
      <c r="AX58" s="182"/>
    </row>
    <row r="59" spans="1:50" ht="11.25" customHeight="1">
      <c r="A59" s="56"/>
      <c r="B59" s="180"/>
      <c r="C59" s="181"/>
      <c r="D59" s="181"/>
      <c r="E59" s="181"/>
      <c r="F59" s="181"/>
      <c r="G59" s="181"/>
      <c r="H59" s="181"/>
      <c r="I59" s="181"/>
      <c r="J59" s="181"/>
      <c r="K59" s="181"/>
      <c r="L59" s="181"/>
      <c r="M59" s="181"/>
      <c r="N59" s="181"/>
      <c r="O59" s="181"/>
      <c r="P59" s="181"/>
      <c r="Q59" s="181"/>
      <c r="R59" s="181"/>
      <c r="S59" s="181"/>
      <c r="T59" s="181"/>
      <c r="U59" s="181"/>
      <c r="V59" s="181"/>
      <c r="W59" s="181"/>
      <c r="X59" s="181"/>
      <c r="Y59" s="181"/>
      <c r="Z59" s="181"/>
      <c r="AA59" s="181"/>
      <c r="AB59" s="181"/>
      <c r="AC59" s="181"/>
      <c r="AD59" s="181"/>
      <c r="AE59" s="181"/>
      <c r="AF59" s="181"/>
      <c r="AG59" s="181"/>
      <c r="AH59" s="181"/>
      <c r="AI59" s="181"/>
      <c r="AJ59" s="181"/>
      <c r="AK59" s="181"/>
      <c r="AL59" s="181"/>
      <c r="AM59" s="181"/>
      <c r="AN59" s="181"/>
      <c r="AO59" s="181"/>
      <c r="AP59" s="181"/>
      <c r="AQ59" s="181"/>
      <c r="AR59" s="181"/>
      <c r="AS59" s="181"/>
      <c r="AT59" s="181"/>
      <c r="AU59" s="181"/>
      <c r="AV59" s="181"/>
      <c r="AW59" s="181"/>
      <c r="AX59" s="182"/>
    </row>
    <row r="60" spans="1:50" ht="11.25" customHeight="1">
      <c r="A60" s="56"/>
      <c r="B60" s="180"/>
      <c r="C60" s="181"/>
      <c r="D60" s="181"/>
      <c r="E60" s="181"/>
      <c r="F60" s="181"/>
      <c r="G60" s="181"/>
      <c r="H60" s="181"/>
      <c r="I60" s="181"/>
      <c r="J60" s="181"/>
      <c r="K60" s="181"/>
      <c r="L60" s="181"/>
      <c r="M60" s="181"/>
      <c r="N60" s="181"/>
      <c r="O60" s="181"/>
      <c r="P60" s="181"/>
      <c r="Q60" s="181"/>
      <c r="R60" s="181"/>
      <c r="S60" s="181"/>
      <c r="T60" s="181"/>
      <c r="U60" s="181"/>
      <c r="V60" s="181"/>
      <c r="W60" s="181"/>
      <c r="X60" s="181"/>
      <c r="Y60" s="181"/>
      <c r="Z60" s="181"/>
      <c r="AA60" s="181"/>
      <c r="AB60" s="181"/>
      <c r="AC60" s="181"/>
      <c r="AD60" s="181"/>
      <c r="AE60" s="181"/>
      <c r="AF60" s="181"/>
      <c r="AG60" s="181"/>
      <c r="AH60" s="181"/>
      <c r="AI60" s="181"/>
      <c r="AJ60" s="181"/>
      <c r="AK60" s="181"/>
      <c r="AL60" s="181"/>
      <c r="AM60" s="181"/>
      <c r="AN60" s="181"/>
      <c r="AO60" s="181"/>
      <c r="AP60" s="181"/>
      <c r="AQ60" s="181"/>
      <c r="AR60" s="181"/>
      <c r="AS60" s="181"/>
      <c r="AT60" s="181"/>
      <c r="AU60" s="181"/>
      <c r="AV60" s="181"/>
      <c r="AW60" s="181"/>
      <c r="AX60" s="182"/>
    </row>
    <row r="61" spans="1:50" ht="11.25" customHeight="1">
      <c r="A61" s="56"/>
      <c r="B61" s="180"/>
      <c r="C61" s="181"/>
      <c r="D61" s="181"/>
      <c r="E61" s="181"/>
      <c r="F61" s="181"/>
      <c r="G61" s="181"/>
      <c r="H61" s="181"/>
      <c r="I61" s="181"/>
      <c r="J61" s="181"/>
      <c r="K61" s="181"/>
      <c r="L61" s="181"/>
      <c r="M61" s="181"/>
      <c r="N61" s="181"/>
      <c r="O61" s="181"/>
      <c r="P61" s="181"/>
      <c r="Q61" s="181"/>
      <c r="R61" s="181"/>
      <c r="S61" s="181"/>
      <c r="T61" s="181"/>
      <c r="U61" s="181"/>
      <c r="V61" s="181"/>
      <c r="W61" s="181"/>
      <c r="X61" s="181"/>
      <c r="Y61" s="181"/>
      <c r="Z61" s="181"/>
      <c r="AA61" s="181"/>
      <c r="AB61" s="181"/>
      <c r="AC61" s="181"/>
      <c r="AD61" s="181"/>
      <c r="AE61" s="181"/>
      <c r="AF61" s="181"/>
      <c r="AG61" s="181"/>
      <c r="AH61" s="181"/>
      <c r="AI61" s="181"/>
      <c r="AJ61" s="181"/>
      <c r="AK61" s="181"/>
      <c r="AL61" s="181"/>
      <c r="AM61" s="181"/>
      <c r="AN61" s="181"/>
      <c r="AO61" s="181"/>
      <c r="AP61" s="181"/>
      <c r="AQ61" s="181"/>
      <c r="AR61" s="181"/>
      <c r="AS61" s="181"/>
      <c r="AT61" s="181"/>
      <c r="AU61" s="181"/>
      <c r="AV61" s="181"/>
      <c r="AW61" s="181"/>
      <c r="AX61" s="182"/>
    </row>
    <row r="62" spans="1:50" ht="11.25" customHeight="1">
      <c r="B62" s="55"/>
      <c r="AX62" s="56"/>
    </row>
    <row r="63" spans="1:50" ht="11.25" customHeight="1">
      <c r="B63" s="55"/>
      <c r="AX63" s="56"/>
    </row>
    <row r="64" spans="1:50" ht="11.25" customHeight="1">
      <c r="B64" s="55"/>
      <c r="AX64" s="56"/>
    </row>
    <row r="65" spans="2:50" ht="11.25" customHeight="1">
      <c r="B65" s="55"/>
      <c r="AX65" s="56"/>
    </row>
    <row r="66" spans="2:50" ht="11.25" customHeight="1">
      <c r="B66" s="55"/>
      <c r="AX66" s="56"/>
    </row>
    <row r="67" spans="2:50" ht="11.25" customHeight="1">
      <c r="B67" s="55"/>
      <c r="AX67" s="56"/>
    </row>
    <row r="68" spans="2:50" ht="11.25" customHeight="1">
      <c r="B68" s="55"/>
      <c r="AX68" s="56"/>
    </row>
    <row r="69" spans="2:50" ht="11.25" customHeight="1">
      <c r="B69" s="55"/>
      <c r="AX69" s="56"/>
    </row>
    <row r="70" spans="2:50" ht="11.25" customHeight="1">
      <c r="B70" s="55"/>
      <c r="AX70" s="56"/>
    </row>
    <row r="71" spans="2:50" ht="11.25" customHeight="1">
      <c r="B71" s="55"/>
      <c r="AX71" s="56"/>
    </row>
    <row r="72" spans="2:50" ht="11.25" customHeight="1">
      <c r="B72" s="55"/>
      <c r="AX72" s="56"/>
    </row>
    <row r="73" spans="2:50" ht="11.25" customHeight="1">
      <c r="B73" s="55"/>
      <c r="AX73" s="56"/>
    </row>
    <row r="74" spans="2:50" ht="11.25" customHeight="1" thickBot="1">
      <c r="B74" s="57"/>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9"/>
    </row>
    <row r="75" spans="2:50" ht="11.25" customHeight="1" thickTop="1"/>
  </sheetData>
  <mergeCells count="6">
    <mergeCell ref="B25:S29"/>
    <mergeCell ref="T25:AX29"/>
    <mergeCell ref="B52:AX56"/>
    <mergeCell ref="B57:N61"/>
    <mergeCell ref="O57:AM61"/>
    <mergeCell ref="AN57:AX61"/>
  </mergeCells>
  <phoneticPr fontId="2" type="noConversion"/>
  <pageMargins left="0.43307086614173229" right="0" top="0.39370078740157483" bottom="0.39370078740157483" header="0.51181102362204722" footer="0.51181102362204722"/>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AZ77"/>
  <sheetViews>
    <sheetView topLeftCell="I40" zoomScale="120" zoomScaleNormal="120" workbookViewId="0">
      <selection activeCell="BL63" sqref="BL63"/>
    </sheetView>
  </sheetViews>
  <sheetFormatPr defaultColWidth="1.875" defaultRowHeight="11.25" customHeight="1"/>
  <cols>
    <col min="1" max="51" width="1.875" style="17" customWidth="1"/>
    <col min="52" max="52" width="0.625" style="17" customWidth="1"/>
    <col min="53" max="16384" width="1.875" style="17"/>
  </cols>
  <sheetData>
    <row r="1" spans="1:52" s="23" customFormat="1" ht="11.25" customHeight="1" thickTop="1">
      <c r="A1" s="37"/>
      <c r="B1" s="38"/>
      <c r="C1" s="38"/>
      <c r="D1" s="38"/>
      <c r="E1" s="38"/>
      <c r="F1" s="38"/>
      <c r="G1" s="38"/>
      <c r="H1" s="38"/>
      <c r="I1" s="38"/>
      <c r="J1" s="38"/>
      <c r="K1" s="38"/>
      <c r="L1" s="38"/>
      <c r="M1" s="38"/>
      <c r="N1" s="38"/>
      <c r="O1" s="38"/>
      <c r="P1" s="38"/>
      <c r="Q1" s="38"/>
      <c r="R1" s="38"/>
      <c r="S1" s="38"/>
      <c r="T1" s="38"/>
      <c r="U1" s="38"/>
      <c r="V1" s="38"/>
      <c r="W1" s="38"/>
      <c r="X1" s="38"/>
      <c r="Y1" s="259" t="s">
        <v>161</v>
      </c>
      <c r="Z1" s="259"/>
      <c r="AA1" s="259"/>
      <c r="AB1" s="259"/>
      <c r="AC1" s="259"/>
      <c r="AD1" s="259"/>
      <c r="AE1" s="259"/>
      <c r="AF1" s="259"/>
      <c r="AG1" s="259"/>
      <c r="AH1" s="259"/>
      <c r="AI1" s="259"/>
      <c r="AJ1" s="259"/>
      <c r="AK1" s="259"/>
      <c r="AL1" s="259"/>
      <c r="AM1" s="259"/>
      <c r="AN1" s="259"/>
      <c r="AO1" s="259"/>
      <c r="AP1" s="259"/>
      <c r="AQ1" s="259"/>
      <c r="AR1" s="259"/>
      <c r="AS1" s="259"/>
      <c r="AT1" s="260"/>
      <c r="AU1" s="238" t="str">
        <f>'秘書-input'!B2</f>
        <v>售</v>
      </c>
      <c r="AV1" s="239"/>
      <c r="AW1" s="239"/>
      <c r="AX1" s="239"/>
      <c r="AY1" s="239"/>
      <c r="AZ1" s="240"/>
    </row>
    <row r="2" spans="1:52" s="23" customFormat="1" ht="11.25" customHeight="1">
      <c r="A2" s="39"/>
      <c r="B2" s="40"/>
      <c r="C2" s="40"/>
      <c r="D2" s="40"/>
      <c r="E2" s="40"/>
      <c r="F2" s="40"/>
      <c r="G2" s="40"/>
      <c r="H2" s="40"/>
      <c r="I2" s="40"/>
      <c r="J2" s="40"/>
      <c r="K2" s="40"/>
      <c r="L2" s="40"/>
      <c r="M2" s="40"/>
      <c r="N2" s="40"/>
      <c r="O2" s="40"/>
      <c r="P2" s="40"/>
      <c r="Q2" s="40"/>
      <c r="R2" s="40"/>
      <c r="S2" s="40"/>
      <c r="T2" s="40"/>
      <c r="U2" s="40"/>
      <c r="V2" s="40"/>
      <c r="W2" s="40"/>
      <c r="X2" s="40"/>
      <c r="Y2" s="261"/>
      <c r="Z2" s="261"/>
      <c r="AA2" s="261"/>
      <c r="AB2" s="261"/>
      <c r="AC2" s="261"/>
      <c r="AD2" s="261"/>
      <c r="AE2" s="261"/>
      <c r="AF2" s="261"/>
      <c r="AG2" s="261"/>
      <c r="AH2" s="261"/>
      <c r="AI2" s="261"/>
      <c r="AJ2" s="261"/>
      <c r="AK2" s="261"/>
      <c r="AL2" s="261"/>
      <c r="AM2" s="261"/>
      <c r="AN2" s="261"/>
      <c r="AO2" s="261"/>
      <c r="AP2" s="261"/>
      <c r="AQ2" s="261"/>
      <c r="AR2" s="261"/>
      <c r="AS2" s="261"/>
      <c r="AT2" s="262"/>
      <c r="AU2" s="241"/>
      <c r="AV2" s="242"/>
      <c r="AW2" s="242"/>
      <c r="AX2" s="242"/>
      <c r="AY2" s="242"/>
      <c r="AZ2" s="243"/>
    </row>
    <row r="3" spans="1:52" s="23" customFormat="1" ht="11.25" customHeight="1">
      <c r="A3" s="39"/>
      <c r="B3" s="40"/>
      <c r="C3" s="40"/>
      <c r="D3" s="40"/>
      <c r="E3" s="40"/>
      <c r="F3" s="40"/>
      <c r="G3" s="40"/>
      <c r="H3" s="40"/>
      <c r="I3" s="40"/>
      <c r="J3" s="40"/>
      <c r="K3" s="40"/>
      <c r="L3" s="40"/>
      <c r="M3" s="40"/>
      <c r="N3" s="40"/>
      <c r="O3" s="40"/>
      <c r="P3" s="40"/>
      <c r="Q3" s="40"/>
      <c r="R3" s="40"/>
      <c r="S3" s="40"/>
      <c r="T3" s="40"/>
      <c r="U3" s="40"/>
      <c r="V3" s="40"/>
      <c r="W3" s="40"/>
      <c r="X3" s="40"/>
      <c r="Y3" s="261"/>
      <c r="Z3" s="261"/>
      <c r="AA3" s="261"/>
      <c r="AB3" s="261"/>
      <c r="AC3" s="261"/>
      <c r="AD3" s="261"/>
      <c r="AE3" s="261"/>
      <c r="AF3" s="261"/>
      <c r="AG3" s="261"/>
      <c r="AH3" s="261"/>
      <c r="AI3" s="261"/>
      <c r="AJ3" s="261"/>
      <c r="AK3" s="261"/>
      <c r="AL3" s="261"/>
      <c r="AM3" s="261"/>
      <c r="AN3" s="261"/>
      <c r="AO3" s="261"/>
      <c r="AP3" s="261"/>
      <c r="AQ3" s="261"/>
      <c r="AR3" s="261"/>
      <c r="AS3" s="261"/>
      <c r="AT3" s="262"/>
      <c r="AU3" s="241"/>
      <c r="AV3" s="242"/>
      <c r="AW3" s="242"/>
      <c r="AX3" s="242"/>
      <c r="AY3" s="242"/>
      <c r="AZ3" s="243"/>
    </row>
    <row r="4" spans="1:52" s="23" customFormat="1" ht="11.25" customHeight="1">
      <c r="A4" s="39"/>
      <c r="B4" s="40"/>
      <c r="C4" s="40"/>
      <c r="D4" s="40"/>
      <c r="E4" s="40"/>
      <c r="F4" s="40"/>
      <c r="G4" s="40"/>
      <c r="H4" s="40"/>
      <c r="I4" s="40"/>
      <c r="J4" s="40"/>
      <c r="K4" s="40"/>
      <c r="L4" s="40"/>
      <c r="M4" s="40"/>
      <c r="N4" s="40"/>
      <c r="O4" s="40"/>
      <c r="P4" s="40"/>
      <c r="Q4" s="40"/>
      <c r="R4" s="40"/>
      <c r="S4" s="40"/>
      <c r="T4" s="40"/>
      <c r="U4" s="40"/>
      <c r="V4" s="40"/>
      <c r="W4" s="40"/>
      <c r="X4" s="40"/>
      <c r="Y4" s="261"/>
      <c r="Z4" s="261"/>
      <c r="AA4" s="261"/>
      <c r="AB4" s="261"/>
      <c r="AC4" s="261"/>
      <c r="AD4" s="261"/>
      <c r="AE4" s="261"/>
      <c r="AF4" s="261"/>
      <c r="AG4" s="261"/>
      <c r="AH4" s="261"/>
      <c r="AI4" s="261"/>
      <c r="AJ4" s="261"/>
      <c r="AK4" s="261"/>
      <c r="AL4" s="261"/>
      <c r="AM4" s="261"/>
      <c r="AN4" s="261"/>
      <c r="AO4" s="261"/>
      <c r="AP4" s="261"/>
      <c r="AQ4" s="261"/>
      <c r="AR4" s="261"/>
      <c r="AS4" s="261"/>
      <c r="AT4" s="262"/>
      <c r="AU4" s="241"/>
      <c r="AV4" s="242"/>
      <c r="AW4" s="242"/>
      <c r="AX4" s="242"/>
      <c r="AY4" s="242"/>
      <c r="AZ4" s="243"/>
    </row>
    <row r="5" spans="1:52" s="22" customFormat="1" ht="11.25" customHeight="1" thickBot="1">
      <c r="A5" s="41"/>
      <c r="B5" s="42"/>
      <c r="C5" s="42"/>
      <c r="D5" s="42"/>
      <c r="E5" s="42"/>
      <c r="F5" s="42"/>
      <c r="G5" s="42"/>
      <c r="H5" s="42"/>
      <c r="I5" s="42"/>
      <c r="J5" s="42"/>
      <c r="K5" s="42"/>
      <c r="L5" s="42"/>
      <c r="M5" s="42"/>
      <c r="N5" s="42"/>
      <c r="O5" s="42"/>
      <c r="P5" s="42"/>
      <c r="Q5" s="42"/>
      <c r="R5" s="42"/>
      <c r="S5" s="42"/>
      <c r="T5" s="42"/>
      <c r="U5" s="42"/>
      <c r="V5" s="42"/>
      <c r="W5" s="42"/>
      <c r="X5" s="42"/>
      <c r="Y5" s="263"/>
      <c r="Z5" s="263"/>
      <c r="AA5" s="263"/>
      <c r="AB5" s="263"/>
      <c r="AC5" s="263"/>
      <c r="AD5" s="263"/>
      <c r="AE5" s="263"/>
      <c r="AF5" s="263"/>
      <c r="AG5" s="263"/>
      <c r="AH5" s="263"/>
      <c r="AI5" s="263"/>
      <c r="AJ5" s="263"/>
      <c r="AK5" s="263"/>
      <c r="AL5" s="263"/>
      <c r="AM5" s="263"/>
      <c r="AN5" s="263"/>
      <c r="AO5" s="263"/>
      <c r="AP5" s="263"/>
      <c r="AQ5" s="263"/>
      <c r="AR5" s="263"/>
      <c r="AS5" s="263"/>
      <c r="AT5" s="264"/>
      <c r="AU5" s="244"/>
      <c r="AV5" s="245"/>
      <c r="AW5" s="245"/>
      <c r="AX5" s="245"/>
      <c r="AY5" s="245"/>
      <c r="AZ5" s="246"/>
    </row>
    <row r="6" spans="1:52" s="22" customFormat="1" ht="11.25" customHeight="1" thickTop="1" thickBot="1">
      <c r="A6" s="225" t="s">
        <v>48</v>
      </c>
      <c r="B6" s="225"/>
      <c r="C6" s="225"/>
      <c r="D6" s="249" t="str">
        <f>'秘書-input'!B1</f>
        <v>西門黃金店面</v>
      </c>
      <c r="E6" s="250"/>
      <c r="F6" s="250"/>
      <c r="G6" s="250"/>
      <c r="H6" s="250"/>
      <c r="I6" s="250"/>
      <c r="J6" s="250"/>
      <c r="K6" s="250"/>
      <c r="L6" s="250"/>
      <c r="M6" s="250"/>
      <c r="N6" s="250"/>
      <c r="O6" s="250"/>
      <c r="P6" s="250"/>
      <c r="Q6" s="250"/>
      <c r="R6" s="250"/>
      <c r="S6" s="250"/>
      <c r="T6" s="250"/>
      <c r="U6" s="250"/>
      <c r="V6" s="250"/>
      <c r="W6" s="250"/>
      <c r="X6" s="251"/>
      <c r="Y6" s="258" t="s">
        <v>162</v>
      </c>
      <c r="Z6" s="258"/>
      <c r="AA6" s="258"/>
      <c r="AB6" s="284">
        <f>'秘書-input'!E46</f>
        <v>34.835899999999995</v>
      </c>
      <c r="AC6" s="284"/>
      <c r="AD6" s="284"/>
      <c r="AE6" s="284"/>
      <c r="AF6" s="284"/>
      <c r="AG6" s="284"/>
      <c r="AH6" s="284"/>
      <c r="AI6" s="284"/>
      <c r="AJ6" s="284"/>
      <c r="AK6" s="284"/>
      <c r="AL6" s="225" t="s">
        <v>49</v>
      </c>
      <c r="AM6" s="225"/>
      <c r="AN6" s="225"/>
      <c r="AO6" s="225" t="s">
        <v>50</v>
      </c>
      <c r="AP6" s="225"/>
      <c r="AQ6" s="225"/>
      <c r="AR6" s="265">
        <f>'秘書-input'!B10</f>
        <v>7588</v>
      </c>
      <c r="AS6" s="265"/>
      <c r="AT6" s="265"/>
      <c r="AU6" s="265"/>
      <c r="AV6" s="265"/>
      <c r="AW6" s="265"/>
      <c r="AX6" s="225" t="s">
        <v>51</v>
      </c>
      <c r="AY6" s="225"/>
      <c r="AZ6" s="225"/>
    </row>
    <row r="7" spans="1:52" s="22" customFormat="1" ht="11.25" customHeight="1" thickTop="1" thickBot="1">
      <c r="A7" s="225"/>
      <c r="B7" s="225"/>
      <c r="C7" s="225"/>
      <c r="D7" s="252"/>
      <c r="E7" s="253"/>
      <c r="F7" s="253"/>
      <c r="G7" s="253"/>
      <c r="H7" s="253"/>
      <c r="I7" s="253"/>
      <c r="J7" s="253"/>
      <c r="K7" s="253"/>
      <c r="L7" s="253"/>
      <c r="M7" s="253"/>
      <c r="N7" s="253"/>
      <c r="O7" s="253"/>
      <c r="P7" s="253"/>
      <c r="Q7" s="253"/>
      <c r="R7" s="253"/>
      <c r="S7" s="253"/>
      <c r="T7" s="253"/>
      <c r="U7" s="253"/>
      <c r="V7" s="253"/>
      <c r="W7" s="253"/>
      <c r="X7" s="254"/>
      <c r="Y7" s="258"/>
      <c r="Z7" s="258"/>
      <c r="AA7" s="258"/>
      <c r="AB7" s="284"/>
      <c r="AC7" s="284"/>
      <c r="AD7" s="284"/>
      <c r="AE7" s="284"/>
      <c r="AF7" s="284"/>
      <c r="AG7" s="284"/>
      <c r="AH7" s="284"/>
      <c r="AI7" s="284"/>
      <c r="AJ7" s="284"/>
      <c r="AK7" s="284"/>
      <c r="AL7" s="225"/>
      <c r="AM7" s="225"/>
      <c r="AN7" s="225"/>
      <c r="AO7" s="225"/>
      <c r="AP7" s="225"/>
      <c r="AQ7" s="225"/>
      <c r="AR7" s="265"/>
      <c r="AS7" s="265"/>
      <c r="AT7" s="265"/>
      <c r="AU7" s="265"/>
      <c r="AV7" s="265"/>
      <c r="AW7" s="265"/>
      <c r="AX7" s="225"/>
      <c r="AY7" s="225"/>
      <c r="AZ7" s="225"/>
    </row>
    <row r="8" spans="1:52" s="22" customFormat="1" ht="11.25" customHeight="1" thickTop="1" thickBot="1">
      <c r="A8" s="225"/>
      <c r="B8" s="225"/>
      <c r="C8" s="225"/>
      <c r="D8" s="252"/>
      <c r="E8" s="253"/>
      <c r="F8" s="253"/>
      <c r="G8" s="253"/>
      <c r="H8" s="253"/>
      <c r="I8" s="253"/>
      <c r="J8" s="253"/>
      <c r="K8" s="253"/>
      <c r="L8" s="253"/>
      <c r="M8" s="253"/>
      <c r="N8" s="253"/>
      <c r="O8" s="253"/>
      <c r="P8" s="253"/>
      <c r="Q8" s="253"/>
      <c r="R8" s="253"/>
      <c r="S8" s="253"/>
      <c r="T8" s="253"/>
      <c r="U8" s="253"/>
      <c r="V8" s="253"/>
      <c r="W8" s="253"/>
      <c r="X8" s="254"/>
      <c r="Y8" s="258"/>
      <c r="Z8" s="258"/>
      <c r="AA8" s="258"/>
      <c r="AB8" s="284"/>
      <c r="AC8" s="284"/>
      <c r="AD8" s="284"/>
      <c r="AE8" s="284"/>
      <c r="AF8" s="284"/>
      <c r="AG8" s="284"/>
      <c r="AH8" s="284"/>
      <c r="AI8" s="284"/>
      <c r="AJ8" s="284"/>
      <c r="AK8" s="284"/>
      <c r="AL8" s="225"/>
      <c r="AM8" s="225"/>
      <c r="AN8" s="225"/>
      <c r="AO8" s="225"/>
      <c r="AP8" s="225"/>
      <c r="AQ8" s="225"/>
      <c r="AR8" s="265"/>
      <c r="AS8" s="265"/>
      <c r="AT8" s="265"/>
      <c r="AU8" s="265"/>
      <c r="AV8" s="265"/>
      <c r="AW8" s="265"/>
      <c r="AX8" s="225"/>
      <c r="AY8" s="225"/>
      <c r="AZ8" s="225"/>
    </row>
    <row r="9" spans="1:52" ht="11.25" customHeight="1" thickTop="1" thickBot="1">
      <c r="A9" s="225"/>
      <c r="B9" s="225"/>
      <c r="C9" s="225"/>
      <c r="D9" s="252"/>
      <c r="E9" s="253"/>
      <c r="F9" s="253"/>
      <c r="G9" s="253"/>
      <c r="H9" s="253"/>
      <c r="I9" s="253"/>
      <c r="J9" s="253"/>
      <c r="K9" s="253"/>
      <c r="L9" s="253"/>
      <c r="M9" s="253"/>
      <c r="N9" s="253"/>
      <c r="O9" s="253"/>
      <c r="P9" s="253"/>
      <c r="Q9" s="253"/>
      <c r="R9" s="253"/>
      <c r="S9" s="253"/>
      <c r="T9" s="253"/>
      <c r="U9" s="253"/>
      <c r="V9" s="253"/>
      <c r="W9" s="253"/>
      <c r="X9" s="254"/>
      <c r="Y9" s="258"/>
      <c r="Z9" s="258"/>
      <c r="AA9" s="258"/>
      <c r="AB9" s="284"/>
      <c r="AC9" s="284"/>
      <c r="AD9" s="284"/>
      <c r="AE9" s="284"/>
      <c r="AF9" s="284"/>
      <c r="AG9" s="284"/>
      <c r="AH9" s="284"/>
      <c r="AI9" s="284"/>
      <c r="AJ9" s="284"/>
      <c r="AK9" s="284"/>
      <c r="AL9" s="225"/>
      <c r="AM9" s="225"/>
      <c r="AN9" s="225"/>
      <c r="AO9" s="225"/>
      <c r="AP9" s="225"/>
      <c r="AQ9" s="225"/>
      <c r="AR9" s="265"/>
      <c r="AS9" s="265"/>
      <c r="AT9" s="265"/>
      <c r="AU9" s="265"/>
      <c r="AV9" s="265"/>
      <c r="AW9" s="265"/>
      <c r="AX9" s="225"/>
      <c r="AY9" s="225"/>
      <c r="AZ9" s="225"/>
    </row>
    <row r="10" spans="1:52" ht="11.25" customHeight="1" thickTop="1" thickBot="1">
      <c r="A10" s="225"/>
      <c r="B10" s="225"/>
      <c r="C10" s="225"/>
      <c r="D10" s="255"/>
      <c r="E10" s="256"/>
      <c r="F10" s="256"/>
      <c r="G10" s="256"/>
      <c r="H10" s="256"/>
      <c r="I10" s="256"/>
      <c r="J10" s="256"/>
      <c r="K10" s="256"/>
      <c r="L10" s="256"/>
      <c r="M10" s="256"/>
      <c r="N10" s="256"/>
      <c r="O10" s="256"/>
      <c r="P10" s="256"/>
      <c r="Q10" s="256"/>
      <c r="R10" s="256"/>
      <c r="S10" s="256"/>
      <c r="T10" s="256"/>
      <c r="U10" s="256"/>
      <c r="V10" s="256"/>
      <c r="W10" s="256"/>
      <c r="X10" s="257"/>
      <c r="Y10" s="258"/>
      <c r="Z10" s="258"/>
      <c r="AA10" s="258"/>
      <c r="AB10" s="284"/>
      <c r="AC10" s="284"/>
      <c r="AD10" s="284"/>
      <c r="AE10" s="284"/>
      <c r="AF10" s="284"/>
      <c r="AG10" s="284"/>
      <c r="AH10" s="284"/>
      <c r="AI10" s="284"/>
      <c r="AJ10" s="284"/>
      <c r="AK10" s="284"/>
      <c r="AL10" s="225"/>
      <c r="AM10" s="225"/>
      <c r="AN10" s="225"/>
      <c r="AO10" s="225"/>
      <c r="AP10" s="225"/>
      <c r="AQ10" s="225"/>
      <c r="AR10" s="265"/>
      <c r="AS10" s="265"/>
      <c r="AT10" s="265"/>
      <c r="AU10" s="265"/>
      <c r="AV10" s="265"/>
      <c r="AW10" s="265"/>
      <c r="AX10" s="225"/>
      <c r="AY10" s="225"/>
      <c r="AZ10" s="225"/>
    </row>
    <row r="11" spans="1:52" ht="11.25" customHeight="1" thickTop="1" thickBot="1">
      <c r="A11" s="247" t="s">
        <v>280</v>
      </c>
      <c r="B11" s="247"/>
      <c r="C11" s="247"/>
      <c r="D11" s="247"/>
      <c r="E11" s="247"/>
      <c r="F11" s="247"/>
      <c r="G11" s="247"/>
      <c r="H11" s="247"/>
      <c r="I11" s="272" t="str">
        <f>'秘書-input'!B4</f>
        <v xml:space="preserve">台北市萬華區      </v>
      </c>
      <c r="J11" s="273"/>
      <c r="K11" s="273"/>
      <c r="L11" s="273"/>
      <c r="M11" s="273"/>
      <c r="N11" s="273"/>
      <c r="O11" s="273"/>
      <c r="P11" s="273"/>
      <c r="Q11" s="273"/>
      <c r="R11" s="273"/>
      <c r="S11" s="273"/>
      <c r="T11" s="273"/>
      <c r="U11" s="266" t="str">
        <f>'秘書-input'!C4</f>
        <v>成都路</v>
      </c>
      <c r="V11" s="266"/>
      <c r="W11" s="266"/>
      <c r="X11" s="266"/>
      <c r="Y11" s="266"/>
      <c r="Z11" s="266"/>
      <c r="AA11" s="266"/>
      <c r="AB11" s="266"/>
      <c r="AC11" s="266"/>
      <c r="AD11" s="266"/>
      <c r="AE11" s="266"/>
      <c r="AF11" s="266"/>
      <c r="AG11" s="266"/>
      <c r="AH11" s="266"/>
      <c r="AI11" s="266"/>
      <c r="AJ11" s="266"/>
      <c r="AK11" s="266"/>
      <c r="AL11" s="266"/>
      <c r="AM11" s="266"/>
      <c r="AN11" s="266"/>
      <c r="AO11" s="266"/>
      <c r="AP11" s="266"/>
      <c r="AQ11" s="266"/>
      <c r="AR11" s="266"/>
      <c r="AS11" s="266"/>
      <c r="AT11" s="266"/>
      <c r="AU11" s="266"/>
      <c r="AV11" s="266"/>
      <c r="AW11" s="266"/>
      <c r="AX11" s="266"/>
      <c r="AY11" s="266"/>
      <c r="AZ11" s="267"/>
    </row>
    <row r="12" spans="1:52" ht="11.25" customHeight="1" thickTop="1" thickBot="1">
      <c r="A12" s="247"/>
      <c r="B12" s="247"/>
      <c r="C12" s="247"/>
      <c r="D12" s="247"/>
      <c r="E12" s="247"/>
      <c r="F12" s="247"/>
      <c r="G12" s="247"/>
      <c r="H12" s="247"/>
      <c r="I12" s="274"/>
      <c r="J12" s="275"/>
      <c r="K12" s="275"/>
      <c r="L12" s="275"/>
      <c r="M12" s="275"/>
      <c r="N12" s="275"/>
      <c r="O12" s="275"/>
      <c r="P12" s="275"/>
      <c r="Q12" s="275"/>
      <c r="R12" s="275"/>
      <c r="S12" s="275"/>
      <c r="T12" s="275"/>
      <c r="U12" s="268"/>
      <c r="V12" s="268"/>
      <c r="W12" s="268"/>
      <c r="X12" s="268"/>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9"/>
    </row>
    <row r="13" spans="1:52" ht="11.25" customHeight="1" thickTop="1" thickBot="1">
      <c r="A13" s="247"/>
      <c r="B13" s="247"/>
      <c r="C13" s="247"/>
      <c r="D13" s="247"/>
      <c r="E13" s="247"/>
      <c r="F13" s="247"/>
      <c r="G13" s="247"/>
      <c r="H13" s="247"/>
      <c r="I13" s="276"/>
      <c r="J13" s="277"/>
      <c r="K13" s="277"/>
      <c r="L13" s="277"/>
      <c r="M13" s="277"/>
      <c r="N13" s="277"/>
      <c r="O13" s="277"/>
      <c r="P13" s="277"/>
      <c r="Q13" s="277"/>
      <c r="R13" s="277"/>
      <c r="S13" s="277"/>
      <c r="T13" s="277"/>
      <c r="U13" s="270"/>
      <c r="V13" s="270"/>
      <c r="W13" s="270"/>
      <c r="X13" s="270"/>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1"/>
    </row>
    <row r="14" spans="1:52" ht="11.25" customHeight="1" thickTop="1" thickBot="1">
      <c r="A14" s="247" t="s">
        <v>26</v>
      </c>
      <c r="B14" s="247"/>
      <c r="C14" s="247"/>
      <c r="D14" s="247"/>
      <c r="E14" s="247"/>
      <c r="F14" s="247"/>
      <c r="G14" s="247"/>
      <c r="H14" s="247"/>
      <c r="I14" s="248" t="str">
        <f>'秘書-input'!B9</f>
        <v xml:space="preserve">無 </v>
      </c>
      <c r="J14" s="248"/>
      <c r="K14" s="248"/>
      <c r="L14" s="248"/>
      <c r="M14" s="248"/>
      <c r="N14" s="248"/>
      <c r="O14" s="248"/>
      <c r="P14" s="248"/>
      <c r="Q14" s="248"/>
      <c r="R14" s="248"/>
      <c r="S14" s="248"/>
      <c r="T14" s="248"/>
      <c r="U14" s="248"/>
      <c r="V14" s="248"/>
      <c r="W14" s="248"/>
      <c r="X14" s="248"/>
      <c r="Y14" s="248"/>
      <c r="Z14" s="248"/>
      <c r="AA14" s="248"/>
      <c r="AB14" s="225" t="s">
        <v>45</v>
      </c>
      <c r="AC14" s="225"/>
      <c r="AD14" s="225"/>
      <c r="AE14" s="204" t="str">
        <f>'秘書-input'!B39</f>
        <v>一層:</v>
      </c>
      <c r="AF14" s="204"/>
      <c r="AG14" s="204"/>
      <c r="AH14" s="204"/>
      <c r="AI14" s="204"/>
      <c r="AJ14" s="204"/>
      <c r="AK14" s="204"/>
      <c r="AL14" s="202">
        <f>'秘書-input'!E39</f>
        <v>12.928850000000001</v>
      </c>
      <c r="AM14" s="203"/>
      <c r="AN14" s="203"/>
      <c r="AO14" s="203"/>
      <c r="AP14" s="203"/>
      <c r="AQ14" s="203"/>
      <c r="AR14" s="203"/>
      <c r="AS14" s="203"/>
      <c r="AT14" s="203"/>
      <c r="AU14" s="203"/>
      <c r="AV14" s="203"/>
      <c r="AW14" s="203"/>
      <c r="AX14" s="200" t="s">
        <v>3</v>
      </c>
      <c r="AY14" s="200"/>
      <c r="AZ14" s="201"/>
    </row>
    <row r="15" spans="1:52" ht="11.25" customHeight="1" thickTop="1" thickBot="1">
      <c r="A15" s="247"/>
      <c r="B15" s="247"/>
      <c r="C15" s="247"/>
      <c r="D15" s="247"/>
      <c r="E15" s="247"/>
      <c r="F15" s="247"/>
      <c r="G15" s="247"/>
      <c r="H15" s="247"/>
      <c r="I15" s="248"/>
      <c r="J15" s="248"/>
      <c r="K15" s="248"/>
      <c r="L15" s="248"/>
      <c r="M15" s="248"/>
      <c r="N15" s="248"/>
      <c r="O15" s="248"/>
      <c r="P15" s="248"/>
      <c r="Q15" s="248"/>
      <c r="R15" s="248"/>
      <c r="S15" s="248"/>
      <c r="T15" s="248"/>
      <c r="U15" s="248"/>
      <c r="V15" s="248"/>
      <c r="W15" s="248"/>
      <c r="X15" s="248"/>
      <c r="Y15" s="248"/>
      <c r="Z15" s="248"/>
      <c r="AA15" s="248"/>
      <c r="AB15" s="225"/>
      <c r="AC15" s="225"/>
      <c r="AD15" s="225"/>
      <c r="AE15" s="204"/>
      <c r="AF15" s="204"/>
      <c r="AG15" s="204"/>
      <c r="AH15" s="204"/>
      <c r="AI15" s="204"/>
      <c r="AJ15" s="204"/>
      <c r="AK15" s="204"/>
      <c r="AL15" s="202"/>
      <c r="AM15" s="203"/>
      <c r="AN15" s="203"/>
      <c r="AO15" s="203"/>
      <c r="AP15" s="203"/>
      <c r="AQ15" s="203"/>
      <c r="AR15" s="203"/>
      <c r="AS15" s="203"/>
      <c r="AT15" s="203"/>
      <c r="AU15" s="203"/>
      <c r="AV15" s="203"/>
      <c r="AW15" s="203"/>
      <c r="AX15" s="200"/>
      <c r="AY15" s="200"/>
      <c r="AZ15" s="201"/>
    </row>
    <row r="16" spans="1:52" ht="11.25" customHeight="1" thickTop="1" thickBot="1">
      <c r="A16" s="247" t="s">
        <v>27</v>
      </c>
      <c r="B16" s="247"/>
      <c r="C16" s="247"/>
      <c r="D16" s="247"/>
      <c r="E16" s="247"/>
      <c r="F16" s="247"/>
      <c r="G16" s="247"/>
      <c r="H16" s="247"/>
      <c r="I16" s="189">
        <f>'秘書-input'!B11</f>
        <v>24015</v>
      </c>
      <c r="J16" s="190"/>
      <c r="K16" s="190"/>
      <c r="L16" s="190"/>
      <c r="M16" s="190"/>
      <c r="N16" s="190"/>
      <c r="O16" s="190"/>
      <c r="P16" s="190"/>
      <c r="Q16" s="191"/>
      <c r="R16" s="195" t="s">
        <v>5</v>
      </c>
      <c r="S16" s="196"/>
      <c r="T16" s="196"/>
      <c r="U16" s="196"/>
      <c r="V16" s="199">
        <f ca="1">'秘書-input'!E11</f>
        <v>46.87945205479452</v>
      </c>
      <c r="W16" s="199"/>
      <c r="X16" s="199"/>
      <c r="Y16" s="199"/>
      <c r="Z16" s="197" t="s">
        <v>6</v>
      </c>
      <c r="AA16" s="198"/>
      <c r="AB16" s="225"/>
      <c r="AC16" s="225"/>
      <c r="AD16" s="225"/>
      <c r="AE16" s="204" t="str">
        <f>'秘書-input'!B40</f>
        <v>二層:</v>
      </c>
      <c r="AF16" s="204"/>
      <c r="AG16" s="204"/>
      <c r="AH16" s="204"/>
      <c r="AI16" s="204"/>
      <c r="AJ16" s="204"/>
      <c r="AK16" s="204"/>
      <c r="AL16" s="202">
        <f>'秘書-input'!E40</f>
        <v>17.417949999999998</v>
      </c>
      <c r="AM16" s="203"/>
      <c r="AN16" s="203"/>
      <c r="AO16" s="203"/>
      <c r="AP16" s="203"/>
      <c r="AQ16" s="203"/>
      <c r="AR16" s="203"/>
      <c r="AS16" s="203"/>
      <c r="AT16" s="203"/>
      <c r="AU16" s="203"/>
      <c r="AV16" s="203"/>
      <c r="AW16" s="203"/>
      <c r="AX16" s="200" t="s">
        <v>3</v>
      </c>
      <c r="AY16" s="200"/>
      <c r="AZ16" s="201"/>
    </row>
    <row r="17" spans="1:52" ht="11.25" customHeight="1" thickTop="1" thickBot="1">
      <c r="A17" s="247"/>
      <c r="B17" s="247"/>
      <c r="C17" s="247"/>
      <c r="D17" s="247"/>
      <c r="E17" s="247"/>
      <c r="F17" s="247"/>
      <c r="G17" s="247"/>
      <c r="H17" s="247"/>
      <c r="I17" s="192"/>
      <c r="J17" s="193"/>
      <c r="K17" s="193"/>
      <c r="L17" s="193"/>
      <c r="M17" s="193"/>
      <c r="N17" s="193"/>
      <c r="O17" s="193"/>
      <c r="P17" s="193"/>
      <c r="Q17" s="194"/>
      <c r="R17" s="195"/>
      <c r="S17" s="196"/>
      <c r="T17" s="196"/>
      <c r="U17" s="196"/>
      <c r="V17" s="199"/>
      <c r="W17" s="199"/>
      <c r="X17" s="199"/>
      <c r="Y17" s="199"/>
      <c r="Z17" s="197"/>
      <c r="AA17" s="198"/>
      <c r="AB17" s="225"/>
      <c r="AC17" s="225"/>
      <c r="AD17" s="225"/>
      <c r="AE17" s="204"/>
      <c r="AF17" s="204"/>
      <c r="AG17" s="204"/>
      <c r="AH17" s="204"/>
      <c r="AI17" s="204"/>
      <c r="AJ17" s="204"/>
      <c r="AK17" s="204"/>
      <c r="AL17" s="202"/>
      <c r="AM17" s="203"/>
      <c r="AN17" s="203"/>
      <c r="AO17" s="203"/>
      <c r="AP17" s="203"/>
      <c r="AQ17" s="203"/>
      <c r="AR17" s="203"/>
      <c r="AS17" s="203"/>
      <c r="AT17" s="203"/>
      <c r="AU17" s="203"/>
      <c r="AV17" s="203"/>
      <c r="AW17" s="203"/>
      <c r="AX17" s="200"/>
      <c r="AY17" s="200"/>
      <c r="AZ17" s="201"/>
    </row>
    <row r="18" spans="1:52" ht="11.25" customHeight="1" thickTop="1" thickBot="1">
      <c r="A18" s="247" t="s">
        <v>8</v>
      </c>
      <c r="B18" s="247"/>
      <c r="C18" s="247"/>
      <c r="D18" s="247"/>
      <c r="E18" s="247"/>
      <c r="F18" s="247"/>
      <c r="G18" s="247"/>
      <c r="H18" s="247"/>
      <c r="I18" s="286" t="str">
        <f>'秘書-input'!B13</f>
        <v>地上共7層/地下0層;本建物在第1~2層</v>
      </c>
      <c r="J18" s="286"/>
      <c r="K18" s="286"/>
      <c r="L18" s="286"/>
      <c r="M18" s="286"/>
      <c r="N18" s="286"/>
      <c r="O18" s="286"/>
      <c r="P18" s="286"/>
      <c r="Q18" s="286"/>
      <c r="R18" s="286"/>
      <c r="S18" s="286"/>
      <c r="T18" s="286"/>
      <c r="U18" s="286"/>
      <c r="V18" s="286"/>
      <c r="W18" s="286"/>
      <c r="X18" s="286"/>
      <c r="Y18" s="286"/>
      <c r="Z18" s="286"/>
      <c r="AA18" s="286"/>
      <c r="AB18" s="225"/>
      <c r="AC18" s="225"/>
      <c r="AD18" s="225"/>
      <c r="AE18" s="204" t="str">
        <f>'秘書-input'!B41</f>
        <v>騎樓:</v>
      </c>
      <c r="AF18" s="204"/>
      <c r="AG18" s="204"/>
      <c r="AH18" s="204"/>
      <c r="AI18" s="204"/>
      <c r="AJ18" s="204"/>
      <c r="AK18" s="204"/>
      <c r="AL18" s="202">
        <f>'秘書-input'!E41</f>
        <v>4.4890999999999996</v>
      </c>
      <c r="AM18" s="203"/>
      <c r="AN18" s="203"/>
      <c r="AO18" s="203"/>
      <c r="AP18" s="203"/>
      <c r="AQ18" s="203"/>
      <c r="AR18" s="203"/>
      <c r="AS18" s="203"/>
      <c r="AT18" s="203"/>
      <c r="AU18" s="203"/>
      <c r="AV18" s="203"/>
      <c r="AW18" s="203"/>
      <c r="AX18" s="200" t="s">
        <v>3</v>
      </c>
      <c r="AY18" s="200"/>
      <c r="AZ18" s="201"/>
    </row>
    <row r="19" spans="1:52" ht="11.25" customHeight="1" thickTop="1" thickBot="1">
      <c r="A19" s="247"/>
      <c r="B19" s="247"/>
      <c r="C19" s="247"/>
      <c r="D19" s="247"/>
      <c r="E19" s="247"/>
      <c r="F19" s="247"/>
      <c r="G19" s="247"/>
      <c r="H19" s="247"/>
      <c r="I19" s="286"/>
      <c r="J19" s="286"/>
      <c r="K19" s="286"/>
      <c r="L19" s="286"/>
      <c r="M19" s="286"/>
      <c r="N19" s="286"/>
      <c r="O19" s="286"/>
      <c r="P19" s="286"/>
      <c r="Q19" s="286"/>
      <c r="R19" s="286"/>
      <c r="S19" s="286"/>
      <c r="T19" s="286"/>
      <c r="U19" s="286"/>
      <c r="V19" s="286"/>
      <c r="W19" s="286"/>
      <c r="X19" s="286"/>
      <c r="Y19" s="286"/>
      <c r="Z19" s="286"/>
      <c r="AA19" s="286"/>
      <c r="AB19" s="225"/>
      <c r="AC19" s="225"/>
      <c r="AD19" s="225"/>
      <c r="AE19" s="204"/>
      <c r="AF19" s="204"/>
      <c r="AG19" s="204"/>
      <c r="AH19" s="204"/>
      <c r="AI19" s="204"/>
      <c r="AJ19" s="204"/>
      <c r="AK19" s="204"/>
      <c r="AL19" s="202"/>
      <c r="AM19" s="203"/>
      <c r="AN19" s="203"/>
      <c r="AO19" s="203"/>
      <c r="AP19" s="203"/>
      <c r="AQ19" s="203"/>
      <c r="AR19" s="203"/>
      <c r="AS19" s="203"/>
      <c r="AT19" s="203"/>
      <c r="AU19" s="203"/>
      <c r="AV19" s="203"/>
      <c r="AW19" s="203"/>
      <c r="AX19" s="200"/>
      <c r="AY19" s="200"/>
      <c r="AZ19" s="201"/>
    </row>
    <row r="20" spans="1:52" ht="11.25" customHeight="1" thickTop="1" thickBot="1">
      <c r="A20" s="247" t="s">
        <v>283</v>
      </c>
      <c r="B20" s="247"/>
      <c r="C20" s="247"/>
      <c r="D20" s="247"/>
      <c r="E20" s="247"/>
      <c r="F20" s="247"/>
      <c r="G20" s="247"/>
      <c r="H20" s="247"/>
      <c r="I20" s="278" t="str">
        <f>'秘書-input'!B14</f>
        <v>0/2/2</v>
      </c>
      <c r="J20" s="279"/>
      <c r="K20" s="279"/>
      <c r="L20" s="279"/>
      <c r="M20" s="279"/>
      <c r="N20" s="279"/>
      <c r="O20" s="279"/>
      <c r="P20" s="279"/>
      <c r="Q20" s="279"/>
      <c r="R20" s="279" t="s">
        <v>284</v>
      </c>
      <c r="S20" s="279"/>
      <c r="T20" s="279"/>
      <c r="U20" s="279"/>
      <c r="V20" s="279" t="str">
        <f>'秘書-input'!B15</f>
        <v/>
      </c>
      <c r="W20" s="279"/>
      <c r="X20" s="279"/>
      <c r="Y20" s="279"/>
      <c r="Z20" s="279"/>
      <c r="AA20" s="282"/>
      <c r="AB20" s="225"/>
      <c r="AC20" s="225"/>
      <c r="AD20" s="225"/>
      <c r="AE20" s="204" t="str">
        <f>'秘書-input'!B42</f>
        <v>其他:</v>
      </c>
      <c r="AF20" s="204"/>
      <c r="AG20" s="204"/>
      <c r="AH20" s="204"/>
      <c r="AI20" s="204"/>
      <c r="AJ20" s="204"/>
      <c r="AK20" s="204"/>
      <c r="AL20" s="202">
        <f>'秘書-input'!E42</f>
        <v>0</v>
      </c>
      <c r="AM20" s="203"/>
      <c r="AN20" s="203"/>
      <c r="AO20" s="203"/>
      <c r="AP20" s="203"/>
      <c r="AQ20" s="203"/>
      <c r="AR20" s="203"/>
      <c r="AS20" s="203"/>
      <c r="AT20" s="203"/>
      <c r="AU20" s="203"/>
      <c r="AV20" s="203"/>
      <c r="AW20" s="203"/>
      <c r="AX20" s="200" t="s">
        <v>3</v>
      </c>
      <c r="AY20" s="200"/>
      <c r="AZ20" s="201"/>
    </row>
    <row r="21" spans="1:52" ht="11.25" customHeight="1" thickTop="1" thickBot="1">
      <c r="A21" s="247"/>
      <c r="B21" s="247"/>
      <c r="C21" s="247"/>
      <c r="D21" s="247"/>
      <c r="E21" s="247"/>
      <c r="F21" s="247"/>
      <c r="G21" s="247"/>
      <c r="H21" s="247"/>
      <c r="I21" s="280"/>
      <c r="J21" s="281"/>
      <c r="K21" s="281"/>
      <c r="L21" s="281"/>
      <c r="M21" s="281"/>
      <c r="N21" s="281"/>
      <c r="O21" s="281"/>
      <c r="P21" s="281"/>
      <c r="Q21" s="281"/>
      <c r="R21" s="281"/>
      <c r="S21" s="281"/>
      <c r="T21" s="281"/>
      <c r="U21" s="281"/>
      <c r="V21" s="281"/>
      <c r="W21" s="281"/>
      <c r="X21" s="281"/>
      <c r="Y21" s="281"/>
      <c r="Z21" s="281"/>
      <c r="AA21" s="283"/>
      <c r="AB21" s="225"/>
      <c r="AC21" s="225"/>
      <c r="AD21" s="225"/>
      <c r="AE21" s="204"/>
      <c r="AF21" s="204"/>
      <c r="AG21" s="204"/>
      <c r="AH21" s="204"/>
      <c r="AI21" s="204"/>
      <c r="AJ21" s="204"/>
      <c r="AK21" s="204"/>
      <c r="AL21" s="202"/>
      <c r="AM21" s="203"/>
      <c r="AN21" s="203"/>
      <c r="AO21" s="203"/>
      <c r="AP21" s="203"/>
      <c r="AQ21" s="203"/>
      <c r="AR21" s="203"/>
      <c r="AS21" s="203"/>
      <c r="AT21" s="203"/>
      <c r="AU21" s="203"/>
      <c r="AV21" s="203"/>
      <c r="AW21" s="203"/>
      <c r="AX21" s="200"/>
      <c r="AY21" s="200"/>
      <c r="AZ21" s="201"/>
    </row>
    <row r="22" spans="1:52" ht="11.25" customHeight="1" thickTop="1" thickBot="1">
      <c r="A22" s="247" t="s">
        <v>285</v>
      </c>
      <c r="B22" s="247"/>
      <c r="C22" s="247"/>
      <c r="D22" s="247"/>
      <c r="E22" s="247"/>
      <c r="F22" s="247"/>
      <c r="G22" s="247"/>
      <c r="H22" s="247"/>
      <c r="I22" s="286" t="str">
        <f>'秘書-input'!B7</f>
        <v>(空白)</v>
      </c>
      <c r="J22" s="286"/>
      <c r="K22" s="286"/>
      <c r="L22" s="286"/>
      <c r="M22" s="286"/>
      <c r="N22" s="286"/>
      <c r="O22" s="286"/>
      <c r="P22" s="286"/>
      <c r="Q22" s="286"/>
      <c r="R22" s="286"/>
      <c r="S22" s="286"/>
      <c r="T22" s="286"/>
      <c r="U22" s="286"/>
      <c r="V22" s="286"/>
      <c r="W22" s="286"/>
      <c r="X22" s="286"/>
      <c r="Y22" s="286"/>
      <c r="Z22" s="286"/>
      <c r="AA22" s="286"/>
      <c r="AB22" s="225"/>
      <c r="AC22" s="225"/>
      <c r="AD22" s="225"/>
      <c r="AE22" s="204" t="str">
        <f>'秘書-input'!B43</f>
        <v>其他:</v>
      </c>
      <c r="AF22" s="204"/>
      <c r="AG22" s="204"/>
      <c r="AH22" s="204"/>
      <c r="AI22" s="204"/>
      <c r="AJ22" s="204"/>
      <c r="AK22" s="204"/>
      <c r="AL22" s="202">
        <f>'秘書-input'!E43</f>
        <v>0</v>
      </c>
      <c r="AM22" s="203"/>
      <c r="AN22" s="203"/>
      <c r="AO22" s="203"/>
      <c r="AP22" s="203"/>
      <c r="AQ22" s="203"/>
      <c r="AR22" s="203"/>
      <c r="AS22" s="203"/>
      <c r="AT22" s="203"/>
      <c r="AU22" s="203"/>
      <c r="AV22" s="203"/>
      <c r="AW22" s="203"/>
      <c r="AX22" s="200" t="s">
        <v>3</v>
      </c>
      <c r="AY22" s="200"/>
      <c r="AZ22" s="201"/>
    </row>
    <row r="23" spans="1:52" ht="11.25" customHeight="1" thickTop="1" thickBot="1">
      <c r="A23" s="247"/>
      <c r="B23" s="247"/>
      <c r="C23" s="247"/>
      <c r="D23" s="247"/>
      <c r="E23" s="247"/>
      <c r="F23" s="247"/>
      <c r="G23" s="247"/>
      <c r="H23" s="247"/>
      <c r="I23" s="286"/>
      <c r="J23" s="286"/>
      <c r="K23" s="286"/>
      <c r="L23" s="286"/>
      <c r="M23" s="286"/>
      <c r="N23" s="286"/>
      <c r="O23" s="286"/>
      <c r="P23" s="286"/>
      <c r="Q23" s="286"/>
      <c r="R23" s="286"/>
      <c r="S23" s="286"/>
      <c r="T23" s="286"/>
      <c r="U23" s="286"/>
      <c r="V23" s="286"/>
      <c r="W23" s="286"/>
      <c r="X23" s="286"/>
      <c r="Y23" s="286"/>
      <c r="Z23" s="286"/>
      <c r="AA23" s="286"/>
      <c r="AB23" s="225"/>
      <c r="AC23" s="225"/>
      <c r="AD23" s="225"/>
      <c r="AE23" s="204"/>
      <c r="AF23" s="204"/>
      <c r="AG23" s="204"/>
      <c r="AH23" s="204"/>
      <c r="AI23" s="204"/>
      <c r="AJ23" s="204"/>
      <c r="AK23" s="204"/>
      <c r="AL23" s="202"/>
      <c r="AM23" s="203"/>
      <c r="AN23" s="203"/>
      <c r="AO23" s="203"/>
      <c r="AP23" s="203"/>
      <c r="AQ23" s="203"/>
      <c r="AR23" s="203"/>
      <c r="AS23" s="203"/>
      <c r="AT23" s="203"/>
      <c r="AU23" s="203"/>
      <c r="AV23" s="203"/>
      <c r="AW23" s="203"/>
      <c r="AX23" s="200"/>
      <c r="AY23" s="200"/>
      <c r="AZ23" s="201"/>
    </row>
    <row r="24" spans="1:52" ht="11.25" customHeight="1" thickTop="1" thickBot="1">
      <c r="A24" s="247" t="s">
        <v>18</v>
      </c>
      <c r="B24" s="247"/>
      <c r="C24" s="247"/>
      <c r="D24" s="247"/>
      <c r="E24" s="247"/>
      <c r="F24" s="247"/>
      <c r="G24" s="247"/>
      <c r="H24" s="247"/>
      <c r="I24" s="285" t="str">
        <f>'秘書-input'!B20</f>
        <v/>
      </c>
      <c r="J24" s="285"/>
      <c r="K24" s="285"/>
      <c r="L24" s="285"/>
      <c r="M24" s="185" t="s">
        <v>61</v>
      </c>
      <c r="N24" s="186"/>
      <c r="O24" s="186"/>
      <c r="P24" s="186"/>
      <c r="Q24" s="186"/>
      <c r="R24" s="186"/>
      <c r="S24" s="186"/>
      <c r="T24" s="186" t="str">
        <f>'秘書-input'!D20</f>
        <v/>
      </c>
      <c r="U24" s="186"/>
      <c r="V24" s="186"/>
      <c r="W24" s="186"/>
      <c r="X24" s="197" t="s">
        <v>17</v>
      </c>
      <c r="Y24" s="197"/>
      <c r="Z24" s="197"/>
      <c r="AA24" s="198"/>
      <c r="AB24" s="225"/>
      <c r="AC24" s="225"/>
      <c r="AD24" s="225"/>
      <c r="AE24" s="204" t="str">
        <f>'秘書-input'!B44</f>
        <v>其他:</v>
      </c>
      <c r="AF24" s="204"/>
      <c r="AG24" s="204"/>
      <c r="AH24" s="204"/>
      <c r="AI24" s="204"/>
      <c r="AJ24" s="204"/>
      <c r="AK24" s="204"/>
      <c r="AL24" s="202">
        <f>'秘書-input'!E44</f>
        <v>0</v>
      </c>
      <c r="AM24" s="203"/>
      <c r="AN24" s="203"/>
      <c r="AO24" s="203"/>
      <c r="AP24" s="203"/>
      <c r="AQ24" s="203"/>
      <c r="AR24" s="203"/>
      <c r="AS24" s="203"/>
      <c r="AT24" s="203"/>
      <c r="AU24" s="203"/>
      <c r="AV24" s="203"/>
      <c r="AW24" s="203"/>
      <c r="AX24" s="200" t="s">
        <v>3</v>
      </c>
      <c r="AY24" s="200"/>
      <c r="AZ24" s="201"/>
    </row>
    <row r="25" spans="1:52" ht="11.25" customHeight="1" thickTop="1" thickBot="1">
      <c r="A25" s="247"/>
      <c r="B25" s="247"/>
      <c r="C25" s="247"/>
      <c r="D25" s="247"/>
      <c r="E25" s="247"/>
      <c r="F25" s="247"/>
      <c r="G25" s="247"/>
      <c r="H25" s="247"/>
      <c r="I25" s="285"/>
      <c r="J25" s="285"/>
      <c r="K25" s="285"/>
      <c r="L25" s="285"/>
      <c r="M25" s="187"/>
      <c r="N25" s="188"/>
      <c r="O25" s="188"/>
      <c r="P25" s="188"/>
      <c r="Q25" s="188"/>
      <c r="R25" s="188"/>
      <c r="S25" s="188"/>
      <c r="T25" s="188"/>
      <c r="U25" s="188"/>
      <c r="V25" s="188"/>
      <c r="W25" s="188"/>
      <c r="X25" s="197"/>
      <c r="Y25" s="197"/>
      <c r="Z25" s="197"/>
      <c r="AA25" s="198"/>
      <c r="AB25" s="225"/>
      <c r="AC25" s="225"/>
      <c r="AD25" s="225"/>
      <c r="AE25" s="204"/>
      <c r="AF25" s="204"/>
      <c r="AG25" s="204"/>
      <c r="AH25" s="204"/>
      <c r="AI25" s="204"/>
      <c r="AJ25" s="204"/>
      <c r="AK25" s="204"/>
      <c r="AL25" s="202"/>
      <c r="AM25" s="203"/>
      <c r="AN25" s="203"/>
      <c r="AO25" s="203"/>
      <c r="AP25" s="203"/>
      <c r="AQ25" s="203"/>
      <c r="AR25" s="203"/>
      <c r="AS25" s="203"/>
      <c r="AT25" s="203"/>
      <c r="AU25" s="203"/>
      <c r="AV25" s="203"/>
      <c r="AW25" s="203"/>
      <c r="AX25" s="200"/>
      <c r="AY25" s="200"/>
      <c r="AZ25" s="201"/>
    </row>
    <row r="26" spans="1:52" ht="11.25" customHeight="1" thickTop="1" thickBot="1">
      <c r="A26" s="247" t="s">
        <v>28</v>
      </c>
      <c r="B26" s="247"/>
      <c r="C26" s="247"/>
      <c r="D26" s="247"/>
      <c r="E26" s="247"/>
      <c r="F26" s="247"/>
      <c r="G26" s="247"/>
      <c r="H26" s="247"/>
      <c r="I26" s="286" t="str">
        <f>'秘書-input'!B12</f>
        <v>加強磚造</v>
      </c>
      <c r="J26" s="286"/>
      <c r="K26" s="286"/>
      <c r="L26" s="286"/>
      <c r="M26" s="286"/>
      <c r="N26" s="286"/>
      <c r="O26" s="286"/>
      <c r="P26" s="286"/>
      <c r="Q26" s="286"/>
      <c r="R26" s="29"/>
      <c r="S26" s="30"/>
      <c r="T26" s="30"/>
      <c r="U26" s="30"/>
      <c r="V26" s="30"/>
      <c r="W26" s="30"/>
      <c r="X26" s="30"/>
      <c r="Y26" s="30"/>
      <c r="Z26" s="30"/>
      <c r="AA26" s="31"/>
      <c r="AB26" s="225"/>
      <c r="AC26" s="225"/>
      <c r="AD26" s="225"/>
      <c r="AE26" s="204" t="str">
        <f>'秘書-input'!B45</f>
        <v>其他:</v>
      </c>
      <c r="AF26" s="204"/>
      <c r="AG26" s="204"/>
      <c r="AH26" s="204"/>
      <c r="AI26" s="204"/>
      <c r="AJ26" s="204"/>
      <c r="AK26" s="204"/>
      <c r="AL26" s="202">
        <f>'秘書-input'!E45</f>
        <v>0</v>
      </c>
      <c r="AM26" s="203"/>
      <c r="AN26" s="203"/>
      <c r="AO26" s="203"/>
      <c r="AP26" s="203"/>
      <c r="AQ26" s="203"/>
      <c r="AR26" s="203"/>
      <c r="AS26" s="203"/>
      <c r="AT26" s="203"/>
      <c r="AU26" s="203"/>
      <c r="AV26" s="203"/>
      <c r="AW26" s="203"/>
      <c r="AX26" s="200" t="s">
        <v>3</v>
      </c>
      <c r="AY26" s="200"/>
      <c r="AZ26" s="201"/>
    </row>
    <row r="27" spans="1:52" ht="11.25" customHeight="1" thickTop="1" thickBot="1">
      <c r="A27" s="247"/>
      <c r="B27" s="247"/>
      <c r="C27" s="247"/>
      <c r="D27" s="247"/>
      <c r="E27" s="247"/>
      <c r="F27" s="247"/>
      <c r="G27" s="247"/>
      <c r="H27" s="247"/>
      <c r="I27" s="286"/>
      <c r="J27" s="286"/>
      <c r="K27" s="286"/>
      <c r="L27" s="286"/>
      <c r="M27" s="286"/>
      <c r="N27" s="286"/>
      <c r="O27" s="286"/>
      <c r="P27" s="286"/>
      <c r="Q27" s="286"/>
      <c r="R27" s="32"/>
      <c r="S27" s="18"/>
      <c r="T27" s="18"/>
      <c r="U27" s="18"/>
      <c r="V27" s="18"/>
      <c r="W27" s="18"/>
      <c r="X27" s="18"/>
      <c r="Y27" s="18"/>
      <c r="Z27" s="18"/>
      <c r="AA27" s="33"/>
      <c r="AB27" s="225"/>
      <c r="AC27" s="225"/>
      <c r="AD27" s="225"/>
      <c r="AE27" s="204"/>
      <c r="AF27" s="204"/>
      <c r="AG27" s="204"/>
      <c r="AH27" s="204"/>
      <c r="AI27" s="204"/>
      <c r="AJ27" s="204"/>
      <c r="AK27" s="204"/>
      <c r="AL27" s="202"/>
      <c r="AM27" s="203"/>
      <c r="AN27" s="203"/>
      <c r="AO27" s="203"/>
      <c r="AP27" s="203"/>
      <c r="AQ27" s="203"/>
      <c r="AR27" s="203"/>
      <c r="AS27" s="203"/>
      <c r="AT27" s="203"/>
      <c r="AU27" s="203"/>
      <c r="AV27" s="203"/>
      <c r="AW27" s="203"/>
      <c r="AX27" s="200"/>
      <c r="AY27" s="200"/>
      <c r="AZ27" s="201"/>
    </row>
    <row r="28" spans="1:52" ht="11.25" customHeight="1" thickTop="1" thickBot="1">
      <c r="A28" s="247" t="s">
        <v>29</v>
      </c>
      <c r="B28" s="247"/>
      <c r="C28" s="247"/>
      <c r="D28" s="247"/>
      <c r="E28" s="247"/>
      <c r="F28" s="247"/>
      <c r="G28" s="247"/>
      <c r="H28" s="247"/>
      <c r="I28" s="288" t="str">
        <f>'秘書-input'!B16</f>
        <v/>
      </c>
      <c r="J28" s="289"/>
      <c r="K28" s="289"/>
      <c r="L28" s="289"/>
      <c r="M28" s="197" t="s">
        <v>47</v>
      </c>
      <c r="N28" s="197"/>
      <c r="O28" s="197"/>
      <c r="P28" s="197"/>
      <c r="Q28" s="198"/>
      <c r="R28" s="32"/>
      <c r="S28" s="18"/>
      <c r="T28" s="18"/>
      <c r="U28" s="18"/>
      <c r="V28" s="18"/>
      <c r="W28" s="18"/>
      <c r="X28" s="18"/>
      <c r="Y28" s="18"/>
      <c r="Z28" s="18"/>
      <c r="AA28" s="33"/>
      <c r="AB28" s="225"/>
      <c r="AC28" s="225"/>
      <c r="AD28" s="225"/>
      <c r="AE28" s="204" t="s">
        <v>46</v>
      </c>
      <c r="AF28" s="204"/>
      <c r="AG28" s="204"/>
      <c r="AH28" s="204"/>
      <c r="AI28" s="204"/>
      <c r="AJ28" s="204"/>
      <c r="AK28" s="204"/>
      <c r="AL28" s="202">
        <f>'秘書-input'!E46</f>
        <v>34.835899999999995</v>
      </c>
      <c r="AM28" s="203"/>
      <c r="AN28" s="203"/>
      <c r="AO28" s="203"/>
      <c r="AP28" s="203"/>
      <c r="AQ28" s="203"/>
      <c r="AR28" s="203"/>
      <c r="AS28" s="203"/>
      <c r="AT28" s="203"/>
      <c r="AU28" s="203"/>
      <c r="AV28" s="203"/>
      <c r="AW28" s="203"/>
      <c r="AX28" s="197" t="s">
        <v>3</v>
      </c>
      <c r="AY28" s="197"/>
      <c r="AZ28" s="198"/>
    </row>
    <row r="29" spans="1:52" ht="11.25" customHeight="1" thickTop="1" thickBot="1">
      <c r="A29" s="247"/>
      <c r="B29" s="247"/>
      <c r="C29" s="247"/>
      <c r="D29" s="247"/>
      <c r="E29" s="247"/>
      <c r="F29" s="247"/>
      <c r="G29" s="247"/>
      <c r="H29" s="247"/>
      <c r="I29" s="288"/>
      <c r="J29" s="289"/>
      <c r="K29" s="289"/>
      <c r="L29" s="289"/>
      <c r="M29" s="197"/>
      <c r="N29" s="197"/>
      <c r="O29" s="197"/>
      <c r="P29" s="197"/>
      <c r="Q29" s="198"/>
      <c r="R29" s="32"/>
      <c r="S29" s="18"/>
      <c r="T29" s="18"/>
      <c r="U29" s="18"/>
      <c r="V29" s="18"/>
      <c r="W29" s="18"/>
      <c r="X29" s="18"/>
      <c r="Y29" s="18"/>
      <c r="Z29" s="18"/>
      <c r="AA29" s="33"/>
      <c r="AB29" s="225"/>
      <c r="AC29" s="225"/>
      <c r="AD29" s="225"/>
      <c r="AE29" s="204"/>
      <c r="AF29" s="204"/>
      <c r="AG29" s="204"/>
      <c r="AH29" s="204"/>
      <c r="AI29" s="204"/>
      <c r="AJ29" s="204"/>
      <c r="AK29" s="204"/>
      <c r="AL29" s="202"/>
      <c r="AM29" s="203"/>
      <c r="AN29" s="203"/>
      <c r="AO29" s="203"/>
      <c r="AP29" s="203"/>
      <c r="AQ29" s="203"/>
      <c r="AR29" s="203"/>
      <c r="AS29" s="203"/>
      <c r="AT29" s="203"/>
      <c r="AU29" s="203"/>
      <c r="AV29" s="203"/>
      <c r="AW29" s="203"/>
      <c r="AX29" s="197"/>
      <c r="AY29" s="197"/>
      <c r="AZ29" s="198"/>
    </row>
    <row r="30" spans="1:52" ht="11.25" customHeight="1" thickTop="1" thickBot="1">
      <c r="A30" s="247" t="s">
        <v>30</v>
      </c>
      <c r="B30" s="247"/>
      <c r="C30" s="247"/>
      <c r="D30" s="247"/>
      <c r="E30" s="247"/>
      <c r="F30" s="247"/>
      <c r="G30" s="247"/>
      <c r="H30" s="247"/>
      <c r="I30" s="286" t="str">
        <f>'秘書-input'!B17</f>
        <v/>
      </c>
      <c r="J30" s="286"/>
      <c r="K30" s="286"/>
      <c r="L30" s="286"/>
      <c r="M30" s="286"/>
      <c r="N30" s="286"/>
      <c r="O30" s="286"/>
      <c r="P30" s="286"/>
      <c r="Q30" s="286"/>
      <c r="R30" s="32"/>
      <c r="S30" s="18"/>
      <c r="T30" s="18"/>
      <c r="U30" s="18"/>
      <c r="V30" s="18"/>
      <c r="W30" s="18"/>
      <c r="X30" s="18"/>
      <c r="Y30" s="18"/>
      <c r="Z30" s="18"/>
      <c r="AA30" s="33"/>
      <c r="AB30" s="225"/>
      <c r="AC30" s="225"/>
      <c r="AD30" s="225"/>
      <c r="AE30" s="204"/>
      <c r="AF30" s="204"/>
      <c r="AG30" s="204"/>
      <c r="AH30" s="204"/>
      <c r="AI30" s="204"/>
      <c r="AJ30" s="204"/>
      <c r="AK30" s="204"/>
      <c r="AL30" s="202"/>
      <c r="AM30" s="203"/>
      <c r="AN30" s="203"/>
      <c r="AO30" s="203"/>
      <c r="AP30" s="203"/>
      <c r="AQ30" s="203"/>
      <c r="AR30" s="203"/>
      <c r="AS30" s="203"/>
      <c r="AT30" s="203"/>
      <c r="AU30" s="203"/>
      <c r="AV30" s="203"/>
      <c r="AW30" s="203"/>
      <c r="AX30" s="197"/>
      <c r="AY30" s="197"/>
      <c r="AZ30" s="198"/>
    </row>
    <row r="31" spans="1:52" ht="11.25" customHeight="1" thickTop="1" thickBot="1">
      <c r="A31" s="247"/>
      <c r="B31" s="247"/>
      <c r="C31" s="247"/>
      <c r="D31" s="247"/>
      <c r="E31" s="247"/>
      <c r="F31" s="247"/>
      <c r="G31" s="247"/>
      <c r="H31" s="247"/>
      <c r="I31" s="286"/>
      <c r="J31" s="286"/>
      <c r="K31" s="286"/>
      <c r="L31" s="286"/>
      <c r="M31" s="286"/>
      <c r="N31" s="286"/>
      <c r="O31" s="286"/>
      <c r="P31" s="286"/>
      <c r="Q31" s="286"/>
      <c r="R31" s="32"/>
      <c r="S31" s="18"/>
      <c r="T31" s="18"/>
      <c r="U31" s="18"/>
      <c r="V31" s="18"/>
      <c r="W31" s="18"/>
      <c r="X31" s="18"/>
      <c r="Y31" s="18"/>
      <c r="Z31" s="18"/>
      <c r="AA31" s="33"/>
      <c r="AB31" s="225" t="s">
        <v>36</v>
      </c>
      <c r="AC31" s="225"/>
      <c r="AD31" s="225"/>
      <c r="AE31" s="183" t="s">
        <v>316</v>
      </c>
      <c r="AF31" s="183"/>
      <c r="AG31" s="183"/>
      <c r="AH31" s="183" t="str">
        <f>'秘書-input'!C30</f>
        <v>漢中段一小段776地號</v>
      </c>
      <c r="AI31" s="183"/>
      <c r="AJ31" s="183"/>
      <c r="AK31" s="183"/>
      <c r="AL31" s="183"/>
      <c r="AM31" s="183"/>
      <c r="AN31" s="183"/>
      <c r="AO31" s="183"/>
      <c r="AP31" s="183"/>
      <c r="AQ31" s="183"/>
      <c r="AR31" s="183" t="s">
        <v>317</v>
      </c>
      <c r="AS31" s="183"/>
      <c r="AT31" s="183"/>
      <c r="AU31" s="183"/>
      <c r="AV31" s="184">
        <f>'秘書-input'!R30</f>
        <v>9.68</v>
      </c>
      <c r="AW31" s="184"/>
      <c r="AX31" s="184"/>
      <c r="AY31" s="183" t="s">
        <v>318</v>
      </c>
      <c r="AZ31" s="183"/>
    </row>
    <row r="32" spans="1:52" ht="11.25" customHeight="1" thickTop="1" thickBot="1">
      <c r="A32" s="247" t="s">
        <v>31</v>
      </c>
      <c r="B32" s="247"/>
      <c r="C32" s="247"/>
      <c r="D32" s="247"/>
      <c r="E32" s="247"/>
      <c r="F32" s="247"/>
      <c r="G32" s="247"/>
      <c r="H32" s="247"/>
      <c r="I32" s="286" t="str">
        <f>'秘書-input'!B18</f>
        <v/>
      </c>
      <c r="J32" s="286"/>
      <c r="K32" s="286"/>
      <c r="L32" s="286"/>
      <c r="M32" s="286"/>
      <c r="N32" s="286"/>
      <c r="O32" s="286"/>
      <c r="P32" s="286"/>
      <c r="Q32" s="286"/>
      <c r="R32" s="24"/>
      <c r="S32" s="21"/>
      <c r="T32" s="21"/>
      <c r="U32" s="21"/>
      <c r="V32" s="21"/>
      <c r="W32" s="21"/>
      <c r="X32" s="21"/>
      <c r="Y32" s="21"/>
      <c r="Z32" s="21"/>
      <c r="AA32" s="25"/>
      <c r="AB32" s="225"/>
      <c r="AC32" s="225"/>
      <c r="AD32" s="225"/>
      <c r="AE32" s="183" t="s">
        <v>319</v>
      </c>
      <c r="AF32" s="183"/>
      <c r="AG32" s="183"/>
      <c r="AH32" s="183" t="str">
        <f>'秘書-input'!L30</f>
        <v>商四</v>
      </c>
      <c r="AI32" s="183"/>
      <c r="AJ32" s="183"/>
      <c r="AK32" s="183"/>
      <c r="AL32" s="183"/>
      <c r="AM32" s="183"/>
      <c r="AN32" s="183"/>
      <c r="AO32" s="183"/>
      <c r="AP32" s="183"/>
      <c r="AQ32" s="183"/>
      <c r="AR32" s="183" t="s">
        <v>320</v>
      </c>
      <c r="AS32" s="183"/>
      <c r="AT32" s="183"/>
      <c r="AU32" s="183"/>
      <c r="AV32" s="184">
        <f>'秘書-input'!X30</f>
        <v>0.56466666666666665</v>
      </c>
      <c r="AW32" s="184"/>
      <c r="AX32" s="184"/>
      <c r="AY32" s="183" t="s">
        <v>318</v>
      </c>
      <c r="AZ32" s="183"/>
    </row>
    <row r="33" spans="1:52" ht="11.25" customHeight="1" thickTop="1" thickBot="1">
      <c r="A33" s="247"/>
      <c r="B33" s="247"/>
      <c r="C33" s="247"/>
      <c r="D33" s="247"/>
      <c r="E33" s="247"/>
      <c r="F33" s="247"/>
      <c r="G33" s="247"/>
      <c r="H33" s="247"/>
      <c r="I33" s="286"/>
      <c r="J33" s="286"/>
      <c r="K33" s="286"/>
      <c r="L33" s="286"/>
      <c r="M33" s="286"/>
      <c r="N33" s="286"/>
      <c r="O33" s="286"/>
      <c r="P33" s="286"/>
      <c r="Q33" s="286"/>
      <c r="R33" s="24"/>
      <c r="S33" s="21"/>
      <c r="T33" s="21"/>
      <c r="U33" s="21"/>
      <c r="V33" s="21"/>
      <c r="W33" s="21"/>
      <c r="X33" s="21"/>
      <c r="Y33" s="21"/>
      <c r="Z33" s="21"/>
      <c r="AA33" s="25"/>
      <c r="AB33" s="225"/>
      <c r="AC33" s="225"/>
      <c r="AD33" s="225"/>
      <c r="AE33" s="24"/>
      <c r="AF33" s="21"/>
      <c r="AG33" s="21"/>
      <c r="AH33" s="21"/>
      <c r="AI33" s="21"/>
      <c r="AJ33" s="21"/>
      <c r="AK33" s="21"/>
      <c r="AL33" s="21"/>
      <c r="AM33" s="21"/>
      <c r="AN33" s="21"/>
      <c r="AO33" s="21"/>
      <c r="AP33" s="21"/>
      <c r="AQ33" s="21"/>
      <c r="AR33" s="21"/>
      <c r="AS33" s="21"/>
      <c r="AT33" s="21"/>
      <c r="AU33" s="21"/>
      <c r="AV33" s="162"/>
      <c r="AW33" s="162"/>
      <c r="AX33" s="162"/>
      <c r="AY33" s="21"/>
      <c r="AZ33" s="25"/>
    </row>
    <row r="34" spans="1:52" ht="11.25" customHeight="1" thickTop="1" thickBot="1">
      <c r="A34" s="247" t="s">
        <v>32</v>
      </c>
      <c r="B34" s="247"/>
      <c r="C34" s="247"/>
      <c r="D34" s="247"/>
      <c r="E34" s="247"/>
      <c r="F34" s="247"/>
      <c r="G34" s="247"/>
      <c r="H34" s="247"/>
      <c r="I34" s="287" t="str">
        <f>'秘書-input'!B19</f>
        <v/>
      </c>
      <c r="J34" s="287"/>
      <c r="K34" s="287"/>
      <c r="L34" s="287"/>
      <c r="M34" s="287"/>
      <c r="N34" s="287"/>
      <c r="O34" s="287"/>
      <c r="P34" s="287"/>
      <c r="Q34" s="287"/>
      <c r="R34" s="24"/>
      <c r="S34" s="21"/>
      <c r="T34" s="21"/>
      <c r="U34" s="21"/>
      <c r="V34" s="21"/>
      <c r="W34" s="21"/>
      <c r="X34" s="21"/>
      <c r="Y34" s="21"/>
      <c r="Z34" s="21"/>
      <c r="AA34" s="25"/>
      <c r="AB34" s="225"/>
      <c r="AC34" s="225"/>
      <c r="AD34" s="225"/>
      <c r="AE34" s="183" t="s">
        <v>316</v>
      </c>
      <c r="AF34" s="183"/>
      <c r="AG34" s="183"/>
      <c r="AH34" s="183" t="str">
        <f>'秘書-input'!C31</f>
        <v>漢中段一小段779地號</v>
      </c>
      <c r="AI34" s="183"/>
      <c r="AJ34" s="183"/>
      <c r="AK34" s="183"/>
      <c r="AL34" s="183"/>
      <c r="AM34" s="183"/>
      <c r="AN34" s="183"/>
      <c r="AO34" s="183"/>
      <c r="AP34" s="183"/>
      <c r="AQ34" s="183"/>
      <c r="AR34" s="183" t="s">
        <v>317</v>
      </c>
      <c r="AS34" s="183"/>
      <c r="AT34" s="183"/>
      <c r="AU34" s="183"/>
      <c r="AV34" s="184">
        <f>'秘書-input'!R31</f>
        <v>297.96249999999998</v>
      </c>
      <c r="AW34" s="184"/>
      <c r="AX34" s="184"/>
      <c r="AY34" s="183" t="s">
        <v>318</v>
      </c>
      <c r="AZ34" s="183"/>
    </row>
    <row r="35" spans="1:52" ht="11.25" customHeight="1" thickTop="1" thickBot="1">
      <c r="A35" s="247"/>
      <c r="B35" s="247"/>
      <c r="C35" s="247"/>
      <c r="D35" s="247"/>
      <c r="E35" s="247"/>
      <c r="F35" s="247"/>
      <c r="G35" s="247"/>
      <c r="H35" s="247"/>
      <c r="I35" s="287"/>
      <c r="J35" s="287"/>
      <c r="K35" s="287"/>
      <c r="L35" s="287"/>
      <c r="M35" s="287"/>
      <c r="N35" s="287"/>
      <c r="O35" s="287"/>
      <c r="P35" s="287"/>
      <c r="Q35" s="287"/>
      <c r="R35" s="24"/>
      <c r="S35" s="21"/>
      <c r="T35" s="21"/>
      <c r="U35" s="21"/>
      <c r="V35" s="21"/>
      <c r="W35" s="21"/>
      <c r="X35" s="21"/>
      <c r="Y35" s="21"/>
      <c r="Z35" s="21"/>
      <c r="AA35" s="25"/>
      <c r="AB35" s="225"/>
      <c r="AC35" s="225"/>
      <c r="AD35" s="225"/>
      <c r="AE35" s="183" t="s">
        <v>319</v>
      </c>
      <c r="AF35" s="183"/>
      <c r="AG35" s="183"/>
      <c r="AH35" s="183" t="str">
        <f>'秘書-input'!L31</f>
        <v>商四</v>
      </c>
      <c r="AI35" s="183"/>
      <c r="AJ35" s="183"/>
      <c r="AK35" s="183"/>
      <c r="AL35" s="183"/>
      <c r="AM35" s="183"/>
      <c r="AN35" s="183"/>
      <c r="AO35" s="183"/>
      <c r="AP35" s="183"/>
      <c r="AQ35" s="183"/>
      <c r="AR35" s="183" t="s">
        <v>320</v>
      </c>
      <c r="AS35" s="183"/>
      <c r="AT35" s="183"/>
      <c r="AU35" s="183"/>
      <c r="AV35" s="184">
        <f>'秘書-input'!X31</f>
        <v>17.281825000000001</v>
      </c>
      <c r="AW35" s="184"/>
      <c r="AX35" s="184"/>
      <c r="AY35" s="183" t="s">
        <v>318</v>
      </c>
      <c r="AZ35" s="183"/>
    </row>
    <row r="36" spans="1:52" ht="11.25" customHeight="1" thickTop="1" thickBot="1">
      <c r="A36" s="301" t="s">
        <v>23</v>
      </c>
      <c r="B36" s="301"/>
      <c r="C36" s="301"/>
      <c r="D36" s="301"/>
      <c r="E36" s="301"/>
      <c r="F36" s="301"/>
      <c r="G36" s="301"/>
      <c r="H36" s="301"/>
      <c r="I36" s="286" t="str">
        <f>'秘書-input'!B24</f>
        <v/>
      </c>
      <c r="J36" s="286"/>
      <c r="K36" s="286"/>
      <c r="L36" s="286"/>
      <c r="M36" s="286"/>
      <c r="N36" s="286"/>
      <c r="O36" s="286"/>
      <c r="P36" s="286"/>
      <c r="Q36" s="286"/>
      <c r="R36" s="32"/>
      <c r="S36" s="18"/>
      <c r="T36" s="18"/>
      <c r="U36" s="18"/>
      <c r="V36" s="18"/>
      <c r="W36" s="18"/>
      <c r="X36" s="18"/>
      <c r="Y36" s="18"/>
      <c r="Z36" s="18"/>
      <c r="AA36" s="33"/>
      <c r="AB36" s="225"/>
      <c r="AC36" s="225"/>
      <c r="AD36" s="225"/>
      <c r="AE36" s="24"/>
      <c r="AF36" s="21"/>
      <c r="AG36" s="21"/>
      <c r="AH36" s="21"/>
      <c r="AI36" s="21"/>
      <c r="AJ36" s="21"/>
      <c r="AK36" s="21"/>
      <c r="AL36" s="21"/>
      <c r="AM36" s="21"/>
      <c r="AN36" s="21"/>
      <c r="AO36" s="21"/>
      <c r="AP36" s="21"/>
      <c r="AQ36" s="21"/>
      <c r="AR36" s="21"/>
      <c r="AS36" s="21"/>
      <c r="AT36" s="21"/>
      <c r="AU36" s="21"/>
      <c r="AV36" s="162"/>
      <c r="AW36" s="162"/>
      <c r="AX36" s="162"/>
      <c r="AY36" s="21"/>
      <c r="AZ36" s="25"/>
    </row>
    <row r="37" spans="1:52" ht="11.25" customHeight="1" thickTop="1" thickBot="1">
      <c r="A37" s="301"/>
      <c r="B37" s="301"/>
      <c r="C37" s="301"/>
      <c r="D37" s="301"/>
      <c r="E37" s="301"/>
      <c r="F37" s="301"/>
      <c r="G37" s="301"/>
      <c r="H37" s="301"/>
      <c r="I37" s="286"/>
      <c r="J37" s="286"/>
      <c r="K37" s="286"/>
      <c r="L37" s="286"/>
      <c r="M37" s="286"/>
      <c r="N37" s="286"/>
      <c r="O37" s="286"/>
      <c r="P37" s="286"/>
      <c r="Q37" s="286"/>
      <c r="R37" s="32"/>
      <c r="S37" s="154"/>
      <c r="T37" s="18"/>
      <c r="U37" s="18"/>
      <c r="V37" s="18"/>
      <c r="W37" s="18"/>
      <c r="X37" s="18"/>
      <c r="Y37" s="18"/>
      <c r="Z37" s="18"/>
      <c r="AA37" s="33"/>
      <c r="AB37" s="225"/>
      <c r="AC37" s="225"/>
      <c r="AD37" s="225"/>
      <c r="AE37" s="183" t="s">
        <v>316</v>
      </c>
      <c r="AF37" s="183"/>
      <c r="AG37" s="183"/>
      <c r="AH37" s="183" t="str">
        <f>'秘書-input'!C32</f>
        <v>漢中段一小段779-0001地號</v>
      </c>
      <c r="AI37" s="183"/>
      <c r="AJ37" s="183"/>
      <c r="AK37" s="183"/>
      <c r="AL37" s="183"/>
      <c r="AM37" s="183"/>
      <c r="AN37" s="183"/>
      <c r="AO37" s="183"/>
      <c r="AP37" s="183"/>
      <c r="AQ37" s="183"/>
      <c r="AR37" s="183" t="s">
        <v>317</v>
      </c>
      <c r="AS37" s="183"/>
      <c r="AT37" s="183"/>
      <c r="AU37" s="183"/>
      <c r="AV37" s="184">
        <f>'秘書-input'!R32</f>
        <v>7.8650000000000002</v>
      </c>
      <c r="AW37" s="184"/>
      <c r="AX37" s="184"/>
      <c r="AY37" s="183" t="s">
        <v>318</v>
      </c>
      <c r="AZ37" s="183"/>
    </row>
    <row r="38" spans="1:52" ht="11.25" customHeight="1" thickTop="1" thickBot="1">
      <c r="A38" s="247" t="s">
        <v>20</v>
      </c>
      <c r="B38" s="247"/>
      <c r="C38" s="247"/>
      <c r="D38" s="247"/>
      <c r="E38" s="247"/>
      <c r="F38" s="247"/>
      <c r="G38" s="247"/>
      <c r="H38" s="247"/>
      <c r="I38" s="286" t="str">
        <f>'秘書-input'!B21</f>
        <v/>
      </c>
      <c r="J38" s="286"/>
      <c r="K38" s="286"/>
      <c r="L38" s="286"/>
      <c r="M38" s="286"/>
      <c r="N38" s="286"/>
      <c r="O38" s="286"/>
      <c r="P38" s="286"/>
      <c r="Q38" s="286"/>
      <c r="R38" s="32"/>
      <c r="S38" s="18"/>
      <c r="T38" s="18"/>
      <c r="U38" s="18"/>
      <c r="V38" s="18"/>
      <c r="W38" s="18"/>
      <c r="X38" s="18"/>
      <c r="Y38" s="18"/>
      <c r="Z38" s="18"/>
      <c r="AA38" s="33"/>
      <c r="AB38" s="225"/>
      <c r="AC38" s="225"/>
      <c r="AD38" s="225"/>
      <c r="AE38" s="183" t="s">
        <v>319</v>
      </c>
      <c r="AF38" s="183"/>
      <c r="AG38" s="183"/>
      <c r="AH38" s="183" t="str">
        <f>'秘書-input'!L32</f>
        <v>商四</v>
      </c>
      <c r="AI38" s="183"/>
      <c r="AJ38" s="183"/>
      <c r="AK38" s="183"/>
      <c r="AL38" s="183"/>
      <c r="AM38" s="183"/>
      <c r="AN38" s="183"/>
      <c r="AO38" s="183"/>
      <c r="AP38" s="183"/>
      <c r="AQ38" s="183"/>
      <c r="AR38" s="183" t="s">
        <v>320</v>
      </c>
      <c r="AS38" s="183"/>
      <c r="AT38" s="183"/>
      <c r="AU38" s="183"/>
      <c r="AV38" s="184">
        <f>'秘書-input'!X32</f>
        <v>0.45616999999999996</v>
      </c>
      <c r="AW38" s="184"/>
      <c r="AX38" s="184"/>
      <c r="AY38" s="183" t="s">
        <v>318</v>
      </c>
      <c r="AZ38" s="183"/>
    </row>
    <row r="39" spans="1:52" ht="11.25" customHeight="1" thickTop="1" thickBot="1">
      <c r="A39" s="300"/>
      <c r="B39" s="300"/>
      <c r="C39" s="300"/>
      <c r="D39" s="300"/>
      <c r="E39" s="300"/>
      <c r="F39" s="300"/>
      <c r="G39" s="300"/>
      <c r="H39" s="300"/>
      <c r="I39" s="290"/>
      <c r="J39" s="290"/>
      <c r="K39" s="290"/>
      <c r="L39" s="290"/>
      <c r="M39" s="290"/>
      <c r="N39" s="290"/>
      <c r="O39" s="290"/>
      <c r="P39" s="290"/>
      <c r="Q39" s="290"/>
      <c r="R39" s="32"/>
      <c r="S39" s="18"/>
      <c r="T39" s="18"/>
      <c r="U39" s="18"/>
      <c r="V39" s="18"/>
      <c r="W39" s="18"/>
      <c r="X39" s="18"/>
      <c r="Y39" s="18"/>
      <c r="Z39" s="18"/>
      <c r="AA39" s="33"/>
      <c r="AB39" s="225"/>
      <c r="AC39" s="225"/>
      <c r="AD39" s="225"/>
      <c r="AE39" s="24"/>
      <c r="AF39" s="21"/>
      <c r="AG39" s="21"/>
      <c r="AH39" s="21"/>
      <c r="AI39" s="21"/>
      <c r="AJ39" s="21"/>
      <c r="AK39" s="21"/>
      <c r="AL39" s="21"/>
      <c r="AM39" s="21"/>
      <c r="AN39" s="21"/>
      <c r="AO39" s="21"/>
      <c r="AP39" s="21"/>
      <c r="AQ39" s="21"/>
      <c r="AR39" s="21"/>
      <c r="AS39" s="21"/>
      <c r="AT39" s="21"/>
      <c r="AU39" s="21"/>
      <c r="AV39" s="162"/>
      <c r="AW39" s="162"/>
      <c r="AX39" s="162"/>
      <c r="AY39" s="21"/>
      <c r="AZ39" s="25"/>
    </row>
    <row r="40" spans="1:52" ht="11.25" customHeight="1" thickTop="1" thickBot="1">
      <c r="A40" s="301" t="s">
        <v>21</v>
      </c>
      <c r="B40" s="301"/>
      <c r="C40" s="301"/>
      <c r="D40" s="301"/>
      <c r="E40" s="301"/>
      <c r="F40" s="301"/>
      <c r="G40" s="301"/>
      <c r="H40" s="301"/>
      <c r="I40" s="286" t="str">
        <f>'秘書-input'!B22</f>
        <v>西門國小
龍山國中</v>
      </c>
      <c r="J40" s="286"/>
      <c r="K40" s="286"/>
      <c r="L40" s="286"/>
      <c r="M40" s="286"/>
      <c r="N40" s="286"/>
      <c r="O40" s="286"/>
      <c r="P40" s="286"/>
      <c r="Q40" s="286"/>
      <c r="R40" s="286"/>
      <c r="S40" s="286"/>
      <c r="T40" s="286"/>
      <c r="U40" s="286"/>
      <c r="V40" s="286"/>
      <c r="W40" s="286"/>
      <c r="X40" s="286"/>
      <c r="Y40" s="286"/>
      <c r="Z40" s="286"/>
      <c r="AA40" s="286"/>
      <c r="AB40" s="225"/>
      <c r="AC40" s="225"/>
      <c r="AD40" s="225"/>
      <c r="AE40" s="183" t="s">
        <v>316</v>
      </c>
      <c r="AF40" s="183"/>
      <c r="AG40" s="183"/>
      <c r="AH40" s="183" t="str">
        <f>'秘書-input'!C33</f>
        <v>漢中段一小段780地號</v>
      </c>
      <c r="AI40" s="183"/>
      <c r="AJ40" s="183"/>
      <c r="AK40" s="183"/>
      <c r="AL40" s="183"/>
      <c r="AM40" s="183"/>
      <c r="AN40" s="183"/>
      <c r="AO40" s="183"/>
      <c r="AP40" s="183"/>
      <c r="AQ40" s="183"/>
      <c r="AR40" s="183" t="s">
        <v>317</v>
      </c>
      <c r="AS40" s="183"/>
      <c r="AT40" s="183"/>
      <c r="AU40" s="183"/>
      <c r="AV40" s="184">
        <f>'秘書-input'!R33</f>
        <v>11.192499999999999</v>
      </c>
      <c r="AW40" s="184"/>
      <c r="AX40" s="184"/>
      <c r="AY40" s="183" t="s">
        <v>318</v>
      </c>
      <c r="AZ40" s="183"/>
    </row>
    <row r="41" spans="1:52" ht="11.25" customHeight="1" thickTop="1" thickBot="1">
      <c r="A41" s="301"/>
      <c r="B41" s="301"/>
      <c r="C41" s="301"/>
      <c r="D41" s="301"/>
      <c r="E41" s="301"/>
      <c r="F41" s="301"/>
      <c r="G41" s="301"/>
      <c r="H41" s="301"/>
      <c r="I41" s="286"/>
      <c r="J41" s="286"/>
      <c r="K41" s="286"/>
      <c r="L41" s="286"/>
      <c r="M41" s="286"/>
      <c r="N41" s="286"/>
      <c r="O41" s="286"/>
      <c r="P41" s="286"/>
      <c r="Q41" s="286"/>
      <c r="R41" s="286"/>
      <c r="S41" s="286"/>
      <c r="T41" s="286"/>
      <c r="U41" s="286"/>
      <c r="V41" s="286"/>
      <c r="W41" s="286"/>
      <c r="X41" s="286"/>
      <c r="Y41" s="286"/>
      <c r="Z41" s="286"/>
      <c r="AA41" s="286"/>
      <c r="AB41" s="225"/>
      <c r="AC41" s="225"/>
      <c r="AD41" s="225"/>
      <c r="AE41" s="183" t="s">
        <v>319</v>
      </c>
      <c r="AF41" s="183"/>
      <c r="AG41" s="183"/>
      <c r="AH41" s="183" t="str">
        <f>'秘書-input'!L33</f>
        <v>商四</v>
      </c>
      <c r="AI41" s="183"/>
      <c r="AJ41" s="183"/>
      <c r="AK41" s="183"/>
      <c r="AL41" s="183"/>
      <c r="AM41" s="183"/>
      <c r="AN41" s="183"/>
      <c r="AO41" s="183"/>
      <c r="AP41" s="183"/>
      <c r="AQ41" s="183"/>
      <c r="AR41" s="183" t="s">
        <v>320</v>
      </c>
      <c r="AS41" s="183"/>
      <c r="AT41" s="183"/>
      <c r="AU41" s="183"/>
      <c r="AV41" s="184">
        <f>'秘書-input'!X33</f>
        <v>0.64916499999999999</v>
      </c>
      <c r="AW41" s="184"/>
      <c r="AX41" s="184"/>
      <c r="AY41" s="183" t="s">
        <v>318</v>
      </c>
      <c r="AZ41" s="183"/>
    </row>
    <row r="42" spans="1:52" ht="11.25" customHeight="1" thickTop="1" thickBot="1">
      <c r="A42" s="247" t="str">
        <f>'秘書-input'!A25</f>
        <v>違建部份:</v>
      </c>
      <c r="B42" s="247"/>
      <c r="C42" s="247"/>
      <c r="D42" s="247"/>
      <c r="E42" s="247"/>
      <c r="F42" s="247"/>
      <c r="G42" s="247"/>
      <c r="H42" s="247"/>
      <c r="I42" s="291" t="str">
        <f>'秘書-input'!B25</f>
        <v xml:space="preserve">無 </v>
      </c>
      <c r="J42" s="292"/>
      <c r="K42" s="292"/>
      <c r="L42" s="292"/>
      <c r="M42" s="292"/>
      <c r="N42" s="292"/>
      <c r="O42" s="292"/>
      <c r="P42" s="292"/>
      <c r="Q42" s="292"/>
      <c r="R42" s="292"/>
      <c r="S42" s="292"/>
      <c r="T42" s="292"/>
      <c r="U42" s="292"/>
      <c r="V42" s="292"/>
      <c r="W42" s="292"/>
      <c r="X42" s="292"/>
      <c r="Y42" s="292"/>
      <c r="Z42" s="292"/>
      <c r="AA42" s="293"/>
      <c r="AB42" s="225"/>
      <c r="AC42" s="225"/>
      <c r="AD42" s="225"/>
      <c r="AE42" s="24"/>
      <c r="AF42" s="21"/>
      <c r="AG42" s="21"/>
      <c r="AH42" s="21"/>
      <c r="AI42" s="21"/>
      <c r="AJ42" s="21"/>
      <c r="AK42" s="21"/>
      <c r="AL42" s="21"/>
      <c r="AM42" s="21"/>
      <c r="AN42" s="21"/>
      <c r="AO42" s="21"/>
      <c r="AP42" s="21"/>
      <c r="AQ42" s="21"/>
      <c r="AR42" s="21"/>
      <c r="AS42" s="21"/>
      <c r="AT42" s="21"/>
      <c r="AU42" s="21"/>
      <c r="AV42" s="162"/>
      <c r="AW42" s="162"/>
      <c r="AX42" s="162"/>
      <c r="AY42" s="21"/>
      <c r="AZ42" s="25"/>
    </row>
    <row r="43" spans="1:52" ht="11.25" customHeight="1" thickTop="1" thickBot="1">
      <c r="A43" s="247"/>
      <c r="B43" s="247"/>
      <c r="C43" s="247"/>
      <c r="D43" s="247"/>
      <c r="E43" s="247"/>
      <c r="F43" s="247"/>
      <c r="G43" s="247"/>
      <c r="H43" s="247"/>
      <c r="I43" s="294"/>
      <c r="J43" s="295"/>
      <c r="K43" s="295"/>
      <c r="L43" s="295"/>
      <c r="M43" s="295"/>
      <c r="N43" s="295"/>
      <c r="O43" s="295"/>
      <c r="P43" s="295"/>
      <c r="Q43" s="295"/>
      <c r="R43" s="295"/>
      <c r="S43" s="295"/>
      <c r="T43" s="295"/>
      <c r="U43" s="295"/>
      <c r="V43" s="295"/>
      <c r="W43" s="295"/>
      <c r="X43" s="295"/>
      <c r="Y43" s="295"/>
      <c r="Z43" s="295"/>
      <c r="AA43" s="296"/>
      <c r="AB43" s="225"/>
      <c r="AC43" s="225"/>
      <c r="AD43" s="225"/>
      <c r="AE43" s="183" t="s">
        <v>316</v>
      </c>
      <c r="AF43" s="183"/>
      <c r="AG43" s="183"/>
      <c r="AH43" s="183" t="str">
        <f>'秘書-input'!C34</f>
        <v>漢中段一小段780-0001地號</v>
      </c>
      <c r="AI43" s="183"/>
      <c r="AJ43" s="183"/>
      <c r="AK43" s="183"/>
      <c r="AL43" s="183"/>
      <c r="AM43" s="183"/>
      <c r="AN43" s="183"/>
      <c r="AO43" s="183"/>
      <c r="AP43" s="183"/>
      <c r="AQ43" s="183"/>
      <c r="AR43" s="183" t="s">
        <v>317</v>
      </c>
      <c r="AS43" s="183"/>
      <c r="AT43" s="183"/>
      <c r="AU43" s="183"/>
      <c r="AV43" s="184">
        <f>'秘書-input'!R34</f>
        <v>62.314999999999998</v>
      </c>
      <c r="AW43" s="184"/>
      <c r="AX43" s="184"/>
      <c r="AY43" s="183" t="s">
        <v>318</v>
      </c>
      <c r="AZ43" s="183"/>
    </row>
    <row r="44" spans="1:52" ht="11.25" customHeight="1" thickTop="1" thickBot="1">
      <c r="A44" s="247"/>
      <c r="B44" s="247"/>
      <c r="C44" s="247"/>
      <c r="D44" s="247"/>
      <c r="E44" s="247"/>
      <c r="F44" s="247"/>
      <c r="G44" s="247"/>
      <c r="H44" s="247"/>
      <c r="I44" s="297"/>
      <c r="J44" s="298"/>
      <c r="K44" s="298"/>
      <c r="L44" s="298"/>
      <c r="M44" s="298"/>
      <c r="N44" s="298"/>
      <c r="O44" s="298"/>
      <c r="P44" s="298"/>
      <c r="Q44" s="298"/>
      <c r="R44" s="298"/>
      <c r="S44" s="298"/>
      <c r="T44" s="298"/>
      <c r="U44" s="298"/>
      <c r="V44" s="298"/>
      <c r="W44" s="298"/>
      <c r="X44" s="298"/>
      <c r="Y44" s="298"/>
      <c r="Z44" s="298"/>
      <c r="AA44" s="299"/>
      <c r="AB44" s="225"/>
      <c r="AC44" s="225"/>
      <c r="AD44" s="225"/>
      <c r="AE44" s="183" t="s">
        <v>319</v>
      </c>
      <c r="AF44" s="183"/>
      <c r="AG44" s="183"/>
      <c r="AH44" s="183" t="str">
        <f>'秘書-input'!L34</f>
        <v>商四</v>
      </c>
      <c r="AI44" s="183"/>
      <c r="AJ44" s="183"/>
      <c r="AK44" s="183"/>
      <c r="AL44" s="183"/>
      <c r="AM44" s="183"/>
      <c r="AN44" s="183"/>
      <c r="AO44" s="183"/>
      <c r="AP44" s="183"/>
      <c r="AQ44" s="183"/>
      <c r="AR44" s="183" t="s">
        <v>320</v>
      </c>
      <c r="AS44" s="183"/>
      <c r="AT44" s="183"/>
      <c r="AU44" s="183"/>
      <c r="AV44" s="184">
        <f>'秘書-input'!X34</f>
        <v>3.6142699999999999</v>
      </c>
      <c r="AW44" s="184"/>
      <c r="AX44" s="184"/>
      <c r="AY44" s="183" t="s">
        <v>318</v>
      </c>
      <c r="AZ44" s="183"/>
    </row>
    <row r="45" spans="1:52" ht="11.25" customHeight="1" thickTop="1" thickBot="1">
      <c r="A45" s="301" t="s">
        <v>293</v>
      </c>
      <c r="B45" s="301"/>
      <c r="C45" s="301"/>
      <c r="D45" s="301"/>
      <c r="E45" s="301"/>
      <c r="F45" s="301"/>
      <c r="G45" s="301"/>
      <c r="H45" s="301"/>
      <c r="I45" s="286" t="str">
        <f>'秘書-input'!B23</f>
        <v>請洽27713366</v>
      </c>
      <c r="J45" s="286"/>
      <c r="K45" s="286"/>
      <c r="L45" s="286"/>
      <c r="M45" s="286"/>
      <c r="N45" s="286"/>
      <c r="O45" s="286"/>
      <c r="P45" s="286"/>
      <c r="Q45" s="286"/>
      <c r="R45" s="286"/>
      <c r="S45" s="286"/>
      <c r="T45" s="286"/>
      <c r="U45" s="286"/>
      <c r="V45" s="286"/>
      <c r="W45" s="286"/>
      <c r="X45" s="286"/>
      <c r="Y45" s="286"/>
      <c r="Z45" s="286"/>
      <c r="AA45" s="286"/>
      <c r="AB45" s="225"/>
      <c r="AC45" s="225"/>
      <c r="AD45" s="225"/>
      <c r="AE45" s="307" t="s">
        <v>321</v>
      </c>
      <c r="AF45" s="308"/>
      <c r="AG45" s="308"/>
      <c r="AH45" s="308"/>
      <c r="AI45" s="308"/>
      <c r="AJ45" s="308"/>
      <c r="AK45" s="308"/>
      <c r="AL45" s="308"/>
      <c r="AM45" s="308"/>
      <c r="AN45" s="308"/>
      <c r="AO45" s="308"/>
      <c r="AP45" s="308"/>
      <c r="AQ45" s="308"/>
      <c r="AR45" s="302">
        <f>'秘書-input'!X35</f>
        <v>22.001430000000003</v>
      </c>
      <c r="AS45" s="302"/>
      <c r="AT45" s="302"/>
      <c r="AU45" s="302"/>
      <c r="AV45" s="302"/>
      <c r="AW45" s="302"/>
      <c r="AX45" s="302"/>
      <c r="AY45" s="311" t="s">
        <v>318</v>
      </c>
      <c r="AZ45" s="312"/>
    </row>
    <row r="46" spans="1:52" ht="11.25" customHeight="1" thickTop="1" thickBot="1">
      <c r="A46" s="301"/>
      <c r="B46" s="301"/>
      <c r="C46" s="301"/>
      <c r="D46" s="301"/>
      <c r="E46" s="301"/>
      <c r="F46" s="301"/>
      <c r="G46" s="301"/>
      <c r="H46" s="301"/>
      <c r="I46" s="286"/>
      <c r="J46" s="286"/>
      <c r="K46" s="286"/>
      <c r="L46" s="286"/>
      <c r="M46" s="286"/>
      <c r="N46" s="286"/>
      <c r="O46" s="286"/>
      <c r="P46" s="286"/>
      <c r="Q46" s="286"/>
      <c r="R46" s="286"/>
      <c r="S46" s="286"/>
      <c r="T46" s="286"/>
      <c r="U46" s="286"/>
      <c r="V46" s="286"/>
      <c r="W46" s="286"/>
      <c r="X46" s="286"/>
      <c r="Y46" s="286"/>
      <c r="Z46" s="286"/>
      <c r="AA46" s="286"/>
      <c r="AB46" s="225"/>
      <c r="AC46" s="225"/>
      <c r="AD46" s="225"/>
      <c r="AE46" s="309"/>
      <c r="AF46" s="310"/>
      <c r="AG46" s="310"/>
      <c r="AH46" s="310"/>
      <c r="AI46" s="310"/>
      <c r="AJ46" s="310"/>
      <c r="AK46" s="310"/>
      <c r="AL46" s="310"/>
      <c r="AM46" s="310"/>
      <c r="AN46" s="310"/>
      <c r="AO46" s="310"/>
      <c r="AP46" s="310"/>
      <c r="AQ46" s="310"/>
      <c r="AR46" s="303"/>
      <c r="AS46" s="303"/>
      <c r="AT46" s="303"/>
      <c r="AU46" s="303"/>
      <c r="AV46" s="303"/>
      <c r="AW46" s="303"/>
      <c r="AX46" s="303"/>
      <c r="AY46" s="313"/>
      <c r="AZ46" s="314"/>
    </row>
    <row r="47" spans="1:52" ht="11.25" customHeight="1" thickTop="1" thickBot="1">
      <c r="A47" s="225" t="s">
        <v>34</v>
      </c>
      <c r="B47" s="225"/>
      <c r="C47" s="225"/>
      <c r="D47" s="229" t="str">
        <f>'秘書-input'!B56</f>
        <v/>
      </c>
      <c r="E47" s="230"/>
      <c r="F47" s="230"/>
      <c r="G47" s="230"/>
      <c r="H47" s="230"/>
      <c r="I47" s="230"/>
      <c r="J47" s="230"/>
      <c r="K47" s="230"/>
      <c r="L47" s="230"/>
      <c r="M47" s="230"/>
      <c r="N47" s="230"/>
      <c r="O47" s="230"/>
      <c r="P47" s="230"/>
      <c r="Q47" s="230"/>
      <c r="R47" s="230"/>
      <c r="S47" s="230"/>
      <c r="T47" s="230"/>
      <c r="U47" s="230"/>
      <c r="V47" s="230"/>
      <c r="W47" s="230"/>
      <c r="X47" s="230"/>
      <c r="Y47" s="230"/>
      <c r="Z47" s="230"/>
      <c r="AA47" s="231"/>
      <c r="AB47" s="225" t="s">
        <v>25</v>
      </c>
      <c r="AC47" s="227"/>
      <c r="AD47" s="227"/>
      <c r="AE47" s="206" t="str">
        <f>'秘書-input'!B50</f>
        <v>有無車位:</v>
      </c>
      <c r="AF47" s="207"/>
      <c r="AG47" s="207"/>
      <c r="AH47" s="207"/>
      <c r="AI47" s="207"/>
      <c r="AJ47" s="200" t="str">
        <f>'秘書-input'!C50</f>
        <v>無</v>
      </c>
      <c r="AK47" s="207"/>
      <c r="AL47" s="207"/>
      <c r="AM47" s="213"/>
      <c r="AN47" s="205" t="str">
        <f>'秘書-input'!D50</f>
        <v>車位價:</v>
      </c>
      <c r="AO47" s="207"/>
      <c r="AP47" s="207"/>
      <c r="AQ47" s="207"/>
      <c r="AR47" s="304" t="str">
        <f>'秘書-input'!E50</f>
        <v>無</v>
      </c>
      <c r="AS47" s="305"/>
      <c r="AT47" s="305"/>
      <c r="AU47" s="305"/>
      <c r="AV47" s="305"/>
      <c r="AW47" s="200" t="s">
        <v>4</v>
      </c>
      <c r="AX47" s="207"/>
      <c r="AY47" s="207"/>
      <c r="AZ47" s="213"/>
    </row>
    <row r="48" spans="1:52" ht="11.25" customHeight="1" thickTop="1" thickBot="1">
      <c r="A48" s="225"/>
      <c r="B48" s="225"/>
      <c r="C48" s="225"/>
      <c r="D48" s="232"/>
      <c r="E48" s="233"/>
      <c r="F48" s="233"/>
      <c r="G48" s="233"/>
      <c r="H48" s="233"/>
      <c r="I48" s="233"/>
      <c r="J48" s="233"/>
      <c r="K48" s="233"/>
      <c r="L48" s="233"/>
      <c r="M48" s="233"/>
      <c r="N48" s="233"/>
      <c r="O48" s="233"/>
      <c r="P48" s="233"/>
      <c r="Q48" s="233"/>
      <c r="R48" s="233"/>
      <c r="S48" s="233"/>
      <c r="T48" s="233"/>
      <c r="U48" s="233"/>
      <c r="V48" s="233"/>
      <c r="W48" s="233"/>
      <c r="X48" s="233"/>
      <c r="Y48" s="233"/>
      <c r="Z48" s="233"/>
      <c r="AA48" s="234"/>
      <c r="AB48" s="227"/>
      <c r="AC48" s="227"/>
      <c r="AD48" s="227"/>
      <c r="AE48" s="208"/>
      <c r="AF48" s="207"/>
      <c r="AG48" s="207"/>
      <c r="AH48" s="207"/>
      <c r="AI48" s="207"/>
      <c r="AJ48" s="207"/>
      <c r="AK48" s="207"/>
      <c r="AL48" s="207"/>
      <c r="AM48" s="213"/>
      <c r="AN48" s="208"/>
      <c r="AO48" s="207"/>
      <c r="AP48" s="207"/>
      <c r="AQ48" s="207"/>
      <c r="AR48" s="305"/>
      <c r="AS48" s="305"/>
      <c r="AT48" s="305"/>
      <c r="AU48" s="305"/>
      <c r="AV48" s="305"/>
      <c r="AW48" s="207"/>
      <c r="AX48" s="207"/>
      <c r="AY48" s="207"/>
      <c r="AZ48" s="213"/>
    </row>
    <row r="49" spans="1:52" ht="11.25" customHeight="1" thickTop="1" thickBot="1">
      <c r="A49" s="225"/>
      <c r="B49" s="225"/>
      <c r="C49" s="225"/>
      <c r="D49" s="232" t="str">
        <f>'秘書-input'!B57</f>
        <v/>
      </c>
      <c r="E49" s="233"/>
      <c r="F49" s="233"/>
      <c r="G49" s="233"/>
      <c r="H49" s="233"/>
      <c r="I49" s="233"/>
      <c r="J49" s="233"/>
      <c r="K49" s="233"/>
      <c r="L49" s="233"/>
      <c r="M49" s="233"/>
      <c r="N49" s="233"/>
      <c r="O49" s="233"/>
      <c r="P49" s="233"/>
      <c r="Q49" s="233"/>
      <c r="R49" s="233"/>
      <c r="S49" s="233"/>
      <c r="T49" s="233"/>
      <c r="U49" s="233"/>
      <c r="V49" s="233"/>
      <c r="W49" s="233"/>
      <c r="X49" s="233"/>
      <c r="Y49" s="233"/>
      <c r="Z49" s="233"/>
      <c r="AA49" s="234"/>
      <c r="AB49" s="227"/>
      <c r="AC49" s="227"/>
      <c r="AD49" s="227"/>
      <c r="AE49" s="206" t="str">
        <f>'秘書-input'!B51</f>
        <v xml:space="preserve">可否另租: </v>
      </c>
      <c r="AF49" s="207"/>
      <c r="AG49" s="207"/>
      <c r="AH49" s="207"/>
      <c r="AI49" s="207"/>
      <c r="AJ49" s="200" t="str">
        <f>'秘書-input'!C51</f>
        <v>無</v>
      </c>
      <c r="AK49" s="200"/>
      <c r="AL49" s="200"/>
      <c r="AM49" s="201"/>
      <c r="AN49" s="205" t="str">
        <f>'秘書-input'!D51</f>
        <v>租金約:</v>
      </c>
      <c r="AO49" s="200"/>
      <c r="AP49" s="200"/>
      <c r="AQ49" s="200"/>
      <c r="AR49" s="306" t="str">
        <f>'秘書-input'!E51</f>
        <v>無</v>
      </c>
      <c r="AS49" s="306"/>
      <c r="AT49" s="306"/>
      <c r="AU49" s="306"/>
      <c r="AV49" s="306"/>
      <c r="AW49" s="200" t="s">
        <v>17</v>
      </c>
      <c r="AX49" s="207"/>
      <c r="AY49" s="207"/>
      <c r="AZ49" s="213"/>
    </row>
    <row r="50" spans="1:52" ht="11.25" customHeight="1" thickTop="1" thickBot="1">
      <c r="A50" s="225"/>
      <c r="B50" s="225"/>
      <c r="C50" s="225"/>
      <c r="D50" s="232"/>
      <c r="E50" s="233"/>
      <c r="F50" s="233"/>
      <c r="G50" s="233"/>
      <c r="H50" s="233"/>
      <c r="I50" s="233"/>
      <c r="J50" s="233"/>
      <c r="K50" s="233"/>
      <c r="L50" s="233"/>
      <c r="M50" s="233"/>
      <c r="N50" s="233"/>
      <c r="O50" s="233"/>
      <c r="P50" s="233"/>
      <c r="Q50" s="233"/>
      <c r="R50" s="233"/>
      <c r="S50" s="233"/>
      <c r="T50" s="233"/>
      <c r="U50" s="233"/>
      <c r="V50" s="233"/>
      <c r="W50" s="233"/>
      <c r="X50" s="233"/>
      <c r="Y50" s="233"/>
      <c r="Z50" s="233"/>
      <c r="AA50" s="234"/>
      <c r="AB50" s="227"/>
      <c r="AC50" s="227"/>
      <c r="AD50" s="227"/>
      <c r="AE50" s="208"/>
      <c r="AF50" s="207"/>
      <c r="AG50" s="207"/>
      <c r="AH50" s="207"/>
      <c r="AI50" s="207"/>
      <c r="AJ50" s="200"/>
      <c r="AK50" s="200"/>
      <c r="AL50" s="200"/>
      <c r="AM50" s="201"/>
      <c r="AN50" s="205"/>
      <c r="AO50" s="200"/>
      <c r="AP50" s="200"/>
      <c r="AQ50" s="200"/>
      <c r="AR50" s="306"/>
      <c r="AS50" s="306"/>
      <c r="AT50" s="306"/>
      <c r="AU50" s="306"/>
      <c r="AV50" s="306"/>
      <c r="AW50" s="207"/>
      <c r="AX50" s="207"/>
      <c r="AY50" s="207"/>
      <c r="AZ50" s="213"/>
    </row>
    <row r="51" spans="1:52" ht="11.25" customHeight="1" thickTop="1" thickBot="1">
      <c r="A51" s="225"/>
      <c r="B51" s="225"/>
      <c r="C51" s="225"/>
      <c r="D51" s="232" t="str">
        <f>'秘書-input'!B58</f>
        <v/>
      </c>
      <c r="E51" s="233"/>
      <c r="F51" s="233"/>
      <c r="G51" s="233"/>
      <c r="H51" s="233"/>
      <c r="I51" s="233"/>
      <c r="J51" s="233"/>
      <c r="K51" s="233"/>
      <c r="L51" s="233"/>
      <c r="M51" s="233"/>
      <c r="N51" s="233"/>
      <c r="O51" s="233"/>
      <c r="P51" s="233"/>
      <c r="Q51" s="233"/>
      <c r="R51" s="233"/>
      <c r="S51" s="233"/>
      <c r="T51" s="233"/>
      <c r="U51" s="233"/>
      <c r="V51" s="233"/>
      <c r="W51" s="233"/>
      <c r="X51" s="233"/>
      <c r="Y51" s="233"/>
      <c r="Z51" s="233"/>
      <c r="AA51" s="234"/>
      <c r="AB51" s="227"/>
      <c r="AC51" s="227"/>
      <c r="AD51" s="227"/>
      <c r="AE51" s="206" t="str">
        <f>'秘書-input'!B52</f>
        <v>車位編號:</v>
      </c>
      <c r="AF51" s="207"/>
      <c r="AG51" s="207"/>
      <c r="AH51" s="207"/>
      <c r="AI51" s="207"/>
      <c r="AJ51" s="200" t="str">
        <f>'秘書-input'!C52</f>
        <v>無</v>
      </c>
      <c r="AK51" s="200"/>
      <c r="AL51" s="200"/>
      <c r="AM51" s="201"/>
      <c r="AN51" s="209" t="str">
        <f>'秘書-input'!D52</f>
        <v>停車管理費:</v>
      </c>
      <c r="AO51" s="210"/>
      <c r="AP51" s="210"/>
      <c r="AQ51" s="210"/>
      <c r="AR51" s="210"/>
      <c r="AS51" s="210"/>
      <c r="AT51" s="214" t="str">
        <f>'秘書-input'!E52</f>
        <v>無</v>
      </c>
      <c r="AU51" s="214"/>
      <c r="AV51" s="214"/>
      <c r="AW51" s="200" t="s">
        <v>17</v>
      </c>
      <c r="AX51" s="207"/>
      <c r="AY51" s="207"/>
      <c r="AZ51" s="213"/>
    </row>
    <row r="52" spans="1:52" ht="11.25" customHeight="1" thickTop="1" thickBot="1">
      <c r="A52" s="225"/>
      <c r="B52" s="225"/>
      <c r="C52" s="225"/>
      <c r="D52" s="232"/>
      <c r="E52" s="233"/>
      <c r="F52" s="233"/>
      <c r="G52" s="233"/>
      <c r="H52" s="233"/>
      <c r="I52" s="233"/>
      <c r="J52" s="233"/>
      <c r="K52" s="233"/>
      <c r="L52" s="233"/>
      <c r="M52" s="233"/>
      <c r="N52" s="233"/>
      <c r="O52" s="233"/>
      <c r="P52" s="233"/>
      <c r="Q52" s="233"/>
      <c r="R52" s="233"/>
      <c r="S52" s="233"/>
      <c r="T52" s="233"/>
      <c r="U52" s="233"/>
      <c r="V52" s="233"/>
      <c r="W52" s="233"/>
      <c r="X52" s="233"/>
      <c r="Y52" s="233"/>
      <c r="Z52" s="233"/>
      <c r="AA52" s="234"/>
      <c r="AB52" s="227"/>
      <c r="AC52" s="227"/>
      <c r="AD52" s="227"/>
      <c r="AE52" s="208"/>
      <c r="AF52" s="207"/>
      <c r="AG52" s="207"/>
      <c r="AH52" s="207"/>
      <c r="AI52" s="207"/>
      <c r="AJ52" s="200"/>
      <c r="AK52" s="200"/>
      <c r="AL52" s="200"/>
      <c r="AM52" s="201"/>
      <c r="AN52" s="211"/>
      <c r="AO52" s="212"/>
      <c r="AP52" s="212"/>
      <c r="AQ52" s="212"/>
      <c r="AR52" s="212"/>
      <c r="AS52" s="212"/>
      <c r="AT52" s="215"/>
      <c r="AU52" s="215"/>
      <c r="AV52" s="215"/>
      <c r="AW52" s="207"/>
      <c r="AX52" s="207"/>
      <c r="AY52" s="207"/>
      <c r="AZ52" s="213"/>
    </row>
    <row r="53" spans="1:52" ht="11.25" customHeight="1" thickTop="1" thickBot="1">
      <c r="A53" s="225"/>
      <c r="B53" s="225"/>
      <c r="C53" s="225"/>
      <c r="D53" s="232" t="str">
        <f>'秘書-input'!B59</f>
        <v/>
      </c>
      <c r="E53" s="233"/>
      <c r="F53" s="233"/>
      <c r="G53" s="233"/>
      <c r="H53" s="233"/>
      <c r="I53" s="233"/>
      <c r="J53" s="233"/>
      <c r="K53" s="233"/>
      <c r="L53" s="233"/>
      <c r="M53" s="233"/>
      <c r="N53" s="233"/>
      <c r="O53" s="233"/>
      <c r="P53" s="233"/>
      <c r="Q53" s="233"/>
      <c r="R53" s="233"/>
      <c r="S53" s="233"/>
      <c r="T53" s="233"/>
      <c r="U53" s="233"/>
      <c r="V53" s="233"/>
      <c r="W53" s="233"/>
      <c r="X53" s="233"/>
      <c r="Y53" s="233"/>
      <c r="Z53" s="233"/>
      <c r="AA53" s="234"/>
      <c r="AB53" s="227"/>
      <c r="AC53" s="227"/>
      <c r="AD53" s="227"/>
      <c r="AE53" s="206" t="str">
        <f>'秘書-input'!B53</f>
        <v>使用方式:</v>
      </c>
      <c r="AF53" s="207"/>
      <c r="AG53" s="207"/>
      <c r="AH53" s="207"/>
      <c r="AI53" s="207"/>
      <c r="AJ53" s="200" t="str">
        <f>'秘書-input'!C53</f>
        <v>無</v>
      </c>
      <c r="AK53" s="200"/>
      <c r="AL53" s="200"/>
      <c r="AM53" s="201"/>
      <c r="AN53" s="205" t="str">
        <f>'秘書-input'!D53</f>
        <v>停車方式:</v>
      </c>
      <c r="AO53" s="200"/>
      <c r="AP53" s="200"/>
      <c r="AQ53" s="200"/>
      <c r="AR53" s="200" t="str">
        <f>'秘書-input'!E53</f>
        <v>無</v>
      </c>
      <c r="AS53" s="200"/>
      <c r="AT53" s="200"/>
      <c r="AU53" s="200"/>
      <c r="AV53" s="200"/>
      <c r="AW53" s="200"/>
      <c r="AX53" s="200"/>
      <c r="AY53" s="200"/>
      <c r="AZ53" s="201"/>
    </row>
    <row r="54" spans="1:52" ht="11.25" customHeight="1" thickTop="1" thickBot="1">
      <c r="A54" s="226"/>
      <c r="B54" s="226"/>
      <c r="C54" s="226"/>
      <c r="D54" s="235"/>
      <c r="E54" s="236"/>
      <c r="F54" s="236"/>
      <c r="G54" s="236"/>
      <c r="H54" s="236"/>
      <c r="I54" s="236"/>
      <c r="J54" s="236"/>
      <c r="K54" s="236"/>
      <c r="L54" s="236"/>
      <c r="M54" s="236"/>
      <c r="N54" s="236"/>
      <c r="O54" s="236"/>
      <c r="P54" s="236"/>
      <c r="Q54" s="236"/>
      <c r="R54" s="236"/>
      <c r="S54" s="236"/>
      <c r="T54" s="236"/>
      <c r="U54" s="236"/>
      <c r="V54" s="236"/>
      <c r="W54" s="236"/>
      <c r="X54" s="236"/>
      <c r="Y54" s="236"/>
      <c r="Z54" s="236"/>
      <c r="AA54" s="237"/>
      <c r="AB54" s="228"/>
      <c r="AC54" s="228"/>
      <c r="AD54" s="228"/>
      <c r="AE54" s="208"/>
      <c r="AF54" s="207"/>
      <c r="AG54" s="207"/>
      <c r="AH54" s="207"/>
      <c r="AI54" s="207"/>
      <c r="AJ54" s="200"/>
      <c r="AK54" s="200"/>
      <c r="AL54" s="200"/>
      <c r="AM54" s="201"/>
      <c r="AN54" s="205"/>
      <c r="AO54" s="200"/>
      <c r="AP54" s="200"/>
      <c r="AQ54" s="200"/>
      <c r="AR54" s="200"/>
      <c r="AS54" s="200"/>
      <c r="AT54" s="200"/>
      <c r="AU54" s="200"/>
      <c r="AV54" s="200"/>
      <c r="AW54" s="200"/>
      <c r="AX54" s="200"/>
      <c r="AY54" s="200"/>
      <c r="AZ54" s="201"/>
    </row>
    <row r="55" spans="1:52" ht="11.25" customHeight="1" thickTop="1">
      <c r="A55" s="216" t="s">
        <v>58</v>
      </c>
      <c r="B55" s="217"/>
      <c r="C55" s="218"/>
      <c r="D55" s="34"/>
      <c r="E55" s="34"/>
      <c r="F55" s="34"/>
      <c r="G55" s="34"/>
      <c r="H55" s="34"/>
      <c r="I55" s="34"/>
      <c r="J55" s="34"/>
      <c r="K55" s="34"/>
      <c r="L55" s="34"/>
      <c r="M55" s="34"/>
      <c r="N55" s="34"/>
      <c r="O55" s="34"/>
      <c r="P55" s="34"/>
      <c r="Q55" s="34"/>
      <c r="R55" s="34"/>
      <c r="S55" s="34"/>
      <c r="T55" s="34"/>
      <c r="U55" s="34"/>
      <c r="V55" s="34"/>
      <c r="W55" s="34"/>
      <c r="X55" s="34"/>
      <c r="Y55" s="34"/>
      <c r="Z55" s="34"/>
      <c r="AA55" s="35"/>
      <c r="AB55" s="216" t="s">
        <v>59</v>
      </c>
      <c r="AC55" s="217"/>
      <c r="AD55" s="218"/>
      <c r="AE55" s="34"/>
      <c r="AF55" s="34"/>
      <c r="AG55" s="34"/>
      <c r="AH55" s="34"/>
      <c r="AI55" s="34"/>
      <c r="AJ55" s="34"/>
      <c r="AK55" s="34"/>
      <c r="AL55" s="34"/>
      <c r="AM55" s="34"/>
      <c r="AN55" s="34"/>
      <c r="AO55" s="34"/>
      <c r="AP55" s="34"/>
      <c r="AQ55" s="34"/>
      <c r="AR55" s="34"/>
      <c r="AS55" s="34"/>
      <c r="AT55" s="34"/>
      <c r="AU55" s="36"/>
      <c r="AV55" s="36"/>
      <c r="AW55" s="36"/>
      <c r="AX55" s="36"/>
      <c r="AY55" s="34"/>
      <c r="AZ55" s="35"/>
    </row>
    <row r="56" spans="1:52" ht="11.25" customHeight="1">
      <c r="A56" s="219"/>
      <c r="B56" s="220"/>
      <c r="C56" s="221"/>
      <c r="D56" s="21"/>
      <c r="E56" s="21"/>
      <c r="F56" s="21"/>
      <c r="G56" s="21"/>
      <c r="H56" s="21"/>
      <c r="I56" s="21"/>
      <c r="J56" s="21"/>
      <c r="K56" s="21"/>
      <c r="L56" s="21"/>
      <c r="M56" s="21"/>
      <c r="N56" s="21"/>
      <c r="O56" s="21"/>
      <c r="P56" s="21"/>
      <c r="Q56" s="21"/>
      <c r="R56" s="21"/>
      <c r="S56" s="21"/>
      <c r="T56" s="21"/>
      <c r="U56" s="21"/>
      <c r="V56" s="21"/>
      <c r="W56" s="21"/>
      <c r="X56" s="21"/>
      <c r="Y56" s="21"/>
      <c r="Z56" s="21"/>
      <c r="AA56" s="25"/>
      <c r="AB56" s="219"/>
      <c r="AC56" s="220"/>
      <c r="AD56" s="221"/>
      <c r="AE56" s="21"/>
      <c r="AF56" s="21"/>
      <c r="AG56" s="21"/>
      <c r="AH56" s="21"/>
      <c r="AI56" s="21"/>
      <c r="AJ56" s="21"/>
      <c r="AK56" s="21"/>
      <c r="AL56" s="19"/>
      <c r="AM56" s="19"/>
      <c r="AN56" s="19"/>
      <c r="AO56" s="19"/>
      <c r="AP56" s="19"/>
      <c r="AQ56" s="19"/>
      <c r="AR56" s="21"/>
      <c r="AS56" s="19"/>
      <c r="AT56" s="19"/>
      <c r="AU56" s="19"/>
      <c r="AV56" s="19"/>
      <c r="AW56" s="19"/>
      <c r="AX56" s="19"/>
      <c r="AY56" s="19"/>
      <c r="AZ56" s="26"/>
    </row>
    <row r="57" spans="1:52" ht="11.25" customHeight="1">
      <c r="A57" s="219"/>
      <c r="B57" s="220"/>
      <c r="C57" s="221"/>
      <c r="D57" s="21"/>
      <c r="E57" s="21"/>
      <c r="F57" s="21"/>
      <c r="G57" s="21"/>
      <c r="H57" s="21"/>
      <c r="I57" s="21"/>
      <c r="J57" s="21"/>
      <c r="K57" s="21"/>
      <c r="L57" s="21"/>
      <c r="M57" s="21"/>
      <c r="N57" s="21"/>
      <c r="O57" s="21"/>
      <c r="P57" s="21"/>
      <c r="Q57" s="21"/>
      <c r="R57" s="21"/>
      <c r="S57" s="21"/>
      <c r="T57" s="21"/>
      <c r="U57" s="21"/>
      <c r="V57" s="21"/>
      <c r="W57" s="21"/>
      <c r="X57" s="21"/>
      <c r="Y57" s="21"/>
      <c r="Z57" s="21"/>
      <c r="AA57" s="25"/>
      <c r="AB57" s="219"/>
      <c r="AC57" s="220"/>
      <c r="AD57" s="221"/>
      <c r="AE57" s="21"/>
      <c r="AF57" s="21"/>
      <c r="AG57" s="21"/>
      <c r="AH57" s="21"/>
      <c r="AI57" s="21"/>
      <c r="AJ57" s="21"/>
      <c r="AK57" s="21"/>
      <c r="AL57" s="21"/>
      <c r="AM57" s="21"/>
      <c r="AN57" s="21"/>
      <c r="AO57" s="21"/>
      <c r="AP57" s="21"/>
      <c r="AQ57" s="21"/>
      <c r="AR57" s="21"/>
      <c r="AS57" s="21"/>
      <c r="AT57" s="21"/>
      <c r="AU57" s="21"/>
      <c r="AV57" s="21"/>
      <c r="AW57" s="21"/>
      <c r="AX57" s="21"/>
      <c r="AY57" s="21"/>
      <c r="AZ57" s="25"/>
    </row>
    <row r="58" spans="1:52" ht="11.25" customHeight="1">
      <c r="A58" s="219"/>
      <c r="B58" s="220"/>
      <c r="C58" s="221"/>
      <c r="D58" s="21"/>
      <c r="E58" s="21"/>
      <c r="F58" s="21"/>
      <c r="G58" s="21"/>
      <c r="H58" s="21"/>
      <c r="I58" s="21"/>
      <c r="J58" s="21"/>
      <c r="K58" s="21"/>
      <c r="L58" s="21"/>
      <c r="M58" s="21"/>
      <c r="N58" s="21"/>
      <c r="O58" s="21"/>
      <c r="P58" s="21"/>
      <c r="Q58" s="21"/>
      <c r="R58" s="21"/>
      <c r="S58" s="21"/>
      <c r="T58" s="21"/>
      <c r="U58" s="21"/>
      <c r="V58" s="21"/>
      <c r="W58" s="21"/>
      <c r="X58" s="21"/>
      <c r="Y58" s="21"/>
      <c r="Z58" s="21"/>
      <c r="AA58" s="25"/>
      <c r="AB58" s="219"/>
      <c r="AC58" s="220"/>
      <c r="AD58" s="221"/>
      <c r="AE58" s="21"/>
      <c r="AF58" s="21"/>
      <c r="AG58" s="21"/>
      <c r="AH58" s="21"/>
      <c r="AI58" s="21"/>
      <c r="AJ58" s="21"/>
      <c r="AK58" s="21"/>
      <c r="AL58" s="21"/>
      <c r="AM58" s="21"/>
      <c r="AN58" s="21"/>
      <c r="AO58" s="21"/>
      <c r="AP58" s="21"/>
      <c r="AQ58" s="21"/>
      <c r="AR58" s="21"/>
      <c r="AS58" s="21"/>
      <c r="AT58" s="21"/>
      <c r="AU58" s="21"/>
      <c r="AV58" s="21"/>
      <c r="AW58" s="21"/>
      <c r="AX58" s="21"/>
      <c r="AY58" s="21"/>
      <c r="AZ58" s="25"/>
    </row>
    <row r="59" spans="1:52" ht="11.25" customHeight="1">
      <c r="A59" s="219"/>
      <c r="B59" s="220"/>
      <c r="C59" s="221"/>
      <c r="D59" s="21"/>
      <c r="E59" s="21"/>
      <c r="F59" s="21"/>
      <c r="G59" s="21"/>
      <c r="H59" s="21"/>
      <c r="I59" s="21"/>
      <c r="J59" s="21"/>
      <c r="K59" s="21"/>
      <c r="L59" s="21"/>
      <c r="M59" s="21"/>
      <c r="N59" s="21"/>
      <c r="O59" s="21"/>
      <c r="P59" s="21"/>
      <c r="Q59" s="21"/>
      <c r="R59" s="21"/>
      <c r="S59" s="21"/>
      <c r="T59" s="21"/>
      <c r="U59" s="21"/>
      <c r="V59" s="21"/>
      <c r="W59" s="21"/>
      <c r="X59" s="21"/>
      <c r="Y59" s="21"/>
      <c r="Z59" s="21"/>
      <c r="AA59" s="25"/>
      <c r="AB59" s="219"/>
      <c r="AC59" s="220"/>
      <c r="AD59" s="221"/>
      <c r="AE59" s="21"/>
      <c r="AF59" s="21"/>
      <c r="AG59" s="21"/>
      <c r="AH59" s="21"/>
      <c r="AI59" s="21"/>
      <c r="AJ59" s="21"/>
      <c r="AK59" s="21"/>
      <c r="AL59" s="21"/>
      <c r="AM59" s="21"/>
      <c r="AN59" s="21"/>
      <c r="AO59" s="21"/>
      <c r="AP59" s="21"/>
      <c r="AQ59" s="21"/>
      <c r="AR59" s="20"/>
      <c r="AS59" s="21"/>
      <c r="AT59" s="21"/>
      <c r="AU59" s="21"/>
      <c r="AV59" s="21"/>
      <c r="AW59" s="21"/>
      <c r="AX59" s="21"/>
      <c r="AY59" s="21"/>
      <c r="AZ59" s="25"/>
    </row>
    <row r="60" spans="1:52" ht="11.25" customHeight="1">
      <c r="A60" s="219"/>
      <c r="B60" s="220"/>
      <c r="C60" s="221"/>
      <c r="D60" s="21"/>
      <c r="E60" s="21"/>
      <c r="F60" s="21"/>
      <c r="G60" s="21"/>
      <c r="H60" s="21"/>
      <c r="I60" s="21"/>
      <c r="J60" s="21"/>
      <c r="K60" s="21"/>
      <c r="L60" s="21"/>
      <c r="M60" s="21"/>
      <c r="N60" s="21"/>
      <c r="O60" s="21"/>
      <c r="P60" s="21"/>
      <c r="Q60" s="21"/>
      <c r="R60" s="21"/>
      <c r="S60" s="21"/>
      <c r="T60" s="21"/>
      <c r="U60" s="21"/>
      <c r="V60" s="21"/>
      <c r="W60" s="21"/>
      <c r="X60" s="21"/>
      <c r="Y60" s="21"/>
      <c r="Z60" s="21"/>
      <c r="AA60" s="25"/>
      <c r="AB60" s="219"/>
      <c r="AC60" s="220"/>
      <c r="AD60" s="221"/>
      <c r="AE60" s="21"/>
      <c r="AF60" s="21"/>
      <c r="AG60" s="21"/>
      <c r="AH60" s="21"/>
      <c r="AI60" s="21"/>
      <c r="AJ60" s="21"/>
      <c r="AK60" s="21"/>
      <c r="AL60" s="21"/>
      <c r="AM60" s="21"/>
      <c r="AN60" s="21"/>
      <c r="AO60" s="21"/>
      <c r="AP60" s="21"/>
      <c r="AQ60" s="21"/>
      <c r="AR60" s="21"/>
      <c r="AS60" s="21"/>
      <c r="AT60" s="21"/>
      <c r="AU60" s="21"/>
      <c r="AV60" s="21"/>
      <c r="AW60" s="21"/>
      <c r="AX60" s="21"/>
      <c r="AY60" s="21"/>
      <c r="AZ60" s="25"/>
    </row>
    <row r="61" spans="1:52" ht="11.25" customHeight="1">
      <c r="A61" s="219"/>
      <c r="B61" s="220"/>
      <c r="C61" s="221"/>
      <c r="D61" s="21"/>
      <c r="E61" s="21"/>
      <c r="F61" s="21"/>
      <c r="G61" s="21"/>
      <c r="H61" s="21"/>
      <c r="I61" s="21"/>
      <c r="J61" s="21"/>
      <c r="K61" s="21"/>
      <c r="L61" s="21"/>
      <c r="M61" s="21"/>
      <c r="N61" s="21"/>
      <c r="O61" s="21"/>
      <c r="P61" s="21"/>
      <c r="Q61" s="21"/>
      <c r="R61" s="21"/>
      <c r="S61" s="21"/>
      <c r="T61" s="21"/>
      <c r="U61" s="21"/>
      <c r="V61" s="21"/>
      <c r="W61" s="21"/>
      <c r="X61" s="21"/>
      <c r="Y61" s="21"/>
      <c r="Z61" s="21"/>
      <c r="AA61" s="25"/>
      <c r="AB61" s="219"/>
      <c r="AC61" s="220"/>
      <c r="AD61" s="221"/>
      <c r="AE61" s="21"/>
      <c r="AF61" s="21"/>
      <c r="AG61" s="21"/>
      <c r="AH61" s="21"/>
      <c r="AI61" s="21"/>
      <c r="AJ61" s="21"/>
      <c r="AK61" s="21"/>
      <c r="AL61" s="21"/>
      <c r="AM61" s="21"/>
      <c r="AN61" s="21"/>
      <c r="AO61" s="21"/>
      <c r="AP61" s="21"/>
      <c r="AQ61" s="21"/>
      <c r="AR61" s="21"/>
      <c r="AS61" s="21"/>
      <c r="AT61" s="21"/>
      <c r="AU61" s="21"/>
      <c r="AV61" s="21"/>
      <c r="AW61" s="21"/>
      <c r="AX61" s="21"/>
      <c r="AY61" s="21"/>
      <c r="AZ61" s="25"/>
    </row>
    <row r="62" spans="1:52" ht="11.25" customHeight="1">
      <c r="A62" s="219"/>
      <c r="B62" s="220"/>
      <c r="C62" s="221"/>
      <c r="D62" s="21"/>
      <c r="E62" s="21"/>
      <c r="F62" s="21"/>
      <c r="G62" s="21"/>
      <c r="H62" s="21"/>
      <c r="I62" s="21"/>
      <c r="J62" s="21"/>
      <c r="K62" s="21"/>
      <c r="L62" s="21"/>
      <c r="M62" s="21"/>
      <c r="N62" s="21"/>
      <c r="O62" s="21"/>
      <c r="P62" s="21"/>
      <c r="Q62" s="21"/>
      <c r="R62" s="21"/>
      <c r="S62" s="21"/>
      <c r="T62" s="21"/>
      <c r="U62" s="21"/>
      <c r="V62" s="21"/>
      <c r="W62" s="21"/>
      <c r="X62" s="21"/>
      <c r="Y62" s="21"/>
      <c r="Z62" s="21"/>
      <c r="AA62" s="25"/>
      <c r="AB62" s="219"/>
      <c r="AC62" s="220"/>
      <c r="AD62" s="221"/>
      <c r="AE62" s="21"/>
      <c r="AF62" s="21"/>
      <c r="AG62" s="21"/>
      <c r="AH62" s="21"/>
      <c r="AI62" s="21"/>
      <c r="AJ62" s="21"/>
      <c r="AK62" s="21"/>
      <c r="AL62" s="21"/>
      <c r="AM62" s="19"/>
      <c r="AN62" s="21"/>
      <c r="AO62" s="21"/>
      <c r="AP62" s="21"/>
      <c r="AQ62" s="21"/>
      <c r="AR62" s="21"/>
      <c r="AS62" s="21"/>
      <c r="AT62" s="21"/>
      <c r="AU62" s="21"/>
      <c r="AV62" s="21"/>
      <c r="AW62" s="21"/>
      <c r="AX62" s="21"/>
      <c r="AY62" s="21"/>
      <c r="AZ62" s="25"/>
    </row>
    <row r="63" spans="1:52" ht="11.25" customHeight="1">
      <c r="A63" s="219"/>
      <c r="B63" s="220"/>
      <c r="C63" s="221"/>
      <c r="D63" s="21"/>
      <c r="E63" s="21"/>
      <c r="F63" s="21"/>
      <c r="G63" s="21"/>
      <c r="H63" s="21"/>
      <c r="I63" s="21"/>
      <c r="J63" s="21"/>
      <c r="K63" s="21"/>
      <c r="L63" s="21"/>
      <c r="M63" s="21"/>
      <c r="N63" s="21"/>
      <c r="O63" s="21"/>
      <c r="P63" s="21"/>
      <c r="Q63" s="21"/>
      <c r="R63" s="21"/>
      <c r="S63" s="21"/>
      <c r="T63" s="21"/>
      <c r="U63" s="21"/>
      <c r="V63" s="21"/>
      <c r="W63" s="21"/>
      <c r="X63" s="21"/>
      <c r="Y63" s="21"/>
      <c r="Z63" s="21"/>
      <c r="AA63" s="25"/>
      <c r="AB63" s="219"/>
      <c r="AC63" s="220"/>
      <c r="AD63" s="221"/>
      <c r="AE63" s="21"/>
      <c r="AF63" s="21"/>
      <c r="AG63" s="21"/>
      <c r="AH63" s="21"/>
      <c r="AI63" s="21"/>
      <c r="AJ63" s="21"/>
      <c r="AK63" s="21"/>
      <c r="AL63" s="21"/>
      <c r="AM63" s="21"/>
      <c r="AN63" s="21"/>
      <c r="AO63" s="21"/>
      <c r="AP63" s="21"/>
      <c r="AQ63" s="21"/>
      <c r="AR63" s="21"/>
      <c r="AS63" s="21"/>
      <c r="AT63" s="21"/>
      <c r="AU63" s="21"/>
      <c r="AV63" s="21"/>
      <c r="AW63" s="21"/>
      <c r="AX63" s="21"/>
      <c r="AY63" s="21"/>
      <c r="AZ63" s="25"/>
    </row>
    <row r="64" spans="1:52" ht="11.25" customHeight="1">
      <c r="A64" s="219"/>
      <c r="B64" s="220"/>
      <c r="C64" s="221"/>
      <c r="D64" s="21"/>
      <c r="E64" s="21"/>
      <c r="F64" s="21"/>
      <c r="G64" s="21"/>
      <c r="H64" s="21"/>
      <c r="I64" s="21"/>
      <c r="J64" s="21"/>
      <c r="K64" s="21"/>
      <c r="L64" s="21"/>
      <c r="M64" s="21"/>
      <c r="N64" s="21"/>
      <c r="O64" s="21"/>
      <c r="P64" s="21"/>
      <c r="Q64" s="21"/>
      <c r="R64" s="21"/>
      <c r="S64" s="21"/>
      <c r="T64" s="21"/>
      <c r="U64" s="21"/>
      <c r="V64" s="21"/>
      <c r="W64" s="21"/>
      <c r="X64" s="21"/>
      <c r="Y64" s="21"/>
      <c r="Z64" s="21"/>
      <c r="AA64" s="25"/>
      <c r="AB64" s="219"/>
      <c r="AC64" s="220"/>
      <c r="AD64" s="221"/>
      <c r="AE64" s="21"/>
      <c r="AF64" s="21"/>
      <c r="AG64" s="21"/>
      <c r="AH64" s="21"/>
      <c r="AI64" s="21"/>
      <c r="AJ64" s="21"/>
      <c r="AK64" s="21"/>
      <c r="AL64" s="21"/>
      <c r="AM64" s="21"/>
      <c r="AN64" s="21"/>
      <c r="AO64" s="21"/>
      <c r="AP64" s="21"/>
      <c r="AQ64" s="21"/>
      <c r="AR64" s="21"/>
      <c r="AS64" s="21"/>
      <c r="AT64" s="21"/>
      <c r="AU64" s="21"/>
      <c r="AV64" s="21"/>
      <c r="AW64" s="21"/>
      <c r="AX64" s="21"/>
      <c r="AY64" s="21"/>
      <c r="AZ64" s="25"/>
    </row>
    <row r="65" spans="1:52" ht="11.25" customHeight="1">
      <c r="A65" s="219"/>
      <c r="B65" s="220"/>
      <c r="C65" s="221"/>
      <c r="D65" s="21"/>
      <c r="E65" s="21"/>
      <c r="F65" s="21"/>
      <c r="G65" s="21"/>
      <c r="H65" s="21"/>
      <c r="I65" s="21"/>
      <c r="J65" s="21"/>
      <c r="K65" s="21"/>
      <c r="L65" s="21"/>
      <c r="M65" s="21"/>
      <c r="N65" s="21"/>
      <c r="O65" s="21"/>
      <c r="P65" s="21"/>
      <c r="Q65" s="21"/>
      <c r="R65" s="21"/>
      <c r="S65" s="21"/>
      <c r="T65" s="21"/>
      <c r="U65" s="21"/>
      <c r="V65" s="21"/>
      <c r="W65" s="21"/>
      <c r="X65" s="21"/>
      <c r="Y65" s="21"/>
      <c r="Z65" s="21"/>
      <c r="AA65" s="25"/>
      <c r="AB65" s="219"/>
      <c r="AC65" s="220"/>
      <c r="AD65" s="221"/>
      <c r="AE65" s="21"/>
      <c r="AF65" s="21"/>
      <c r="AG65" s="21"/>
      <c r="AH65" s="21"/>
      <c r="AI65" s="21"/>
      <c r="AJ65" s="21"/>
      <c r="AK65" s="21"/>
      <c r="AL65" s="21"/>
      <c r="AM65" s="21"/>
      <c r="AN65" s="21"/>
      <c r="AO65" s="21"/>
      <c r="AP65" s="21"/>
      <c r="AQ65" s="21"/>
      <c r="AR65" s="21"/>
      <c r="AS65" s="21"/>
      <c r="AT65" s="21"/>
      <c r="AU65" s="21"/>
      <c r="AV65" s="21"/>
      <c r="AW65" s="21"/>
      <c r="AX65" s="21"/>
      <c r="AY65" s="21"/>
      <c r="AZ65" s="25"/>
    </row>
    <row r="66" spans="1:52" ht="11.25" customHeight="1">
      <c r="A66" s="219"/>
      <c r="B66" s="220"/>
      <c r="C66" s="221"/>
      <c r="D66" s="21"/>
      <c r="E66" s="21"/>
      <c r="F66" s="21"/>
      <c r="G66" s="21"/>
      <c r="H66" s="21"/>
      <c r="I66" s="21"/>
      <c r="J66" s="21"/>
      <c r="K66" s="21"/>
      <c r="L66" s="21"/>
      <c r="M66" s="21"/>
      <c r="N66" s="21"/>
      <c r="O66" s="21"/>
      <c r="P66" s="21"/>
      <c r="Q66" s="21"/>
      <c r="R66" s="21"/>
      <c r="S66" s="21"/>
      <c r="T66" s="21"/>
      <c r="U66" s="21"/>
      <c r="V66" s="21"/>
      <c r="W66" s="21"/>
      <c r="X66" s="21"/>
      <c r="Y66" s="21"/>
      <c r="Z66" s="21"/>
      <c r="AA66" s="25"/>
      <c r="AB66" s="219"/>
      <c r="AC66" s="220"/>
      <c r="AD66" s="221"/>
      <c r="AE66" s="21"/>
      <c r="AF66" s="21"/>
      <c r="AG66" s="21"/>
      <c r="AH66" s="21"/>
      <c r="AI66" s="21"/>
      <c r="AJ66" s="21"/>
      <c r="AK66" s="21"/>
      <c r="AL66" s="21"/>
      <c r="AM66" s="21"/>
      <c r="AN66" s="21"/>
      <c r="AO66" s="21"/>
      <c r="AP66" s="21"/>
      <c r="AQ66" s="21"/>
      <c r="AR66" s="21"/>
      <c r="AS66" s="21"/>
      <c r="AT66" s="21"/>
      <c r="AU66" s="21"/>
      <c r="AV66" s="21"/>
      <c r="AW66" s="21"/>
      <c r="AX66" s="21"/>
      <c r="AY66" s="21"/>
      <c r="AZ66" s="25"/>
    </row>
    <row r="67" spans="1:52" ht="11.25" customHeight="1">
      <c r="A67" s="219"/>
      <c r="B67" s="220"/>
      <c r="C67" s="221"/>
      <c r="D67" s="21"/>
      <c r="E67" s="21"/>
      <c r="F67" s="21"/>
      <c r="G67" s="21"/>
      <c r="H67" s="21"/>
      <c r="I67" s="21"/>
      <c r="J67" s="21"/>
      <c r="K67" s="21"/>
      <c r="L67" s="21"/>
      <c r="M67" s="21"/>
      <c r="N67" s="21"/>
      <c r="O67" s="21"/>
      <c r="P67" s="21"/>
      <c r="Q67" s="21"/>
      <c r="R67" s="21"/>
      <c r="S67" s="21"/>
      <c r="T67" s="21"/>
      <c r="U67" s="21"/>
      <c r="V67" s="21"/>
      <c r="W67" s="21"/>
      <c r="X67" s="21"/>
      <c r="Y67" s="21"/>
      <c r="Z67" s="21"/>
      <c r="AA67" s="25"/>
      <c r="AB67" s="219"/>
      <c r="AC67" s="220"/>
      <c r="AD67" s="221"/>
      <c r="AE67" s="21"/>
      <c r="AF67" s="21"/>
      <c r="AG67" s="21"/>
      <c r="AH67" s="21"/>
      <c r="AI67" s="21"/>
      <c r="AJ67" s="21"/>
      <c r="AK67" s="21"/>
      <c r="AL67" s="21"/>
      <c r="AM67" s="21"/>
      <c r="AN67" s="21"/>
      <c r="AO67" s="21"/>
      <c r="AP67" s="21"/>
      <c r="AQ67" s="21"/>
      <c r="AR67" s="21"/>
      <c r="AS67" s="21"/>
      <c r="AT67" s="21"/>
      <c r="AU67" s="21"/>
      <c r="AV67" s="21"/>
      <c r="AW67" s="21"/>
      <c r="AX67" s="21"/>
      <c r="AY67" s="21"/>
      <c r="AZ67" s="25"/>
    </row>
    <row r="68" spans="1:52" ht="11.25" customHeight="1">
      <c r="A68" s="219"/>
      <c r="B68" s="220"/>
      <c r="C68" s="221"/>
      <c r="D68" s="21"/>
      <c r="E68" s="21"/>
      <c r="F68" s="21"/>
      <c r="G68" s="21"/>
      <c r="H68" s="21"/>
      <c r="I68" s="21"/>
      <c r="J68" s="21"/>
      <c r="K68" s="21"/>
      <c r="L68" s="21"/>
      <c r="M68" s="21"/>
      <c r="N68" s="21"/>
      <c r="O68" s="21"/>
      <c r="P68" s="21"/>
      <c r="Q68" s="21"/>
      <c r="R68" s="21"/>
      <c r="S68" s="21"/>
      <c r="T68" s="21"/>
      <c r="U68" s="21"/>
      <c r="V68" s="21"/>
      <c r="W68" s="21"/>
      <c r="X68" s="21"/>
      <c r="Y68" s="21"/>
      <c r="Z68" s="21"/>
      <c r="AA68" s="25"/>
      <c r="AB68" s="219"/>
      <c r="AC68" s="220"/>
      <c r="AD68" s="221"/>
      <c r="AE68" s="21"/>
      <c r="AF68" s="21"/>
      <c r="AG68" s="21"/>
      <c r="AH68" s="21"/>
      <c r="AI68" s="21"/>
      <c r="AJ68" s="21"/>
      <c r="AK68" s="21"/>
      <c r="AL68" s="21"/>
      <c r="AM68" s="21"/>
      <c r="AN68" s="21"/>
      <c r="AO68" s="21"/>
      <c r="AP68" s="21"/>
      <c r="AQ68" s="21"/>
      <c r="AR68" s="21"/>
      <c r="AS68" s="21"/>
      <c r="AT68" s="21"/>
      <c r="AU68" s="21"/>
      <c r="AV68" s="21"/>
      <c r="AW68" s="21"/>
      <c r="AX68" s="21"/>
      <c r="AY68" s="21"/>
      <c r="AZ68" s="25"/>
    </row>
    <row r="69" spans="1:52" ht="11.25" customHeight="1">
      <c r="A69" s="219"/>
      <c r="B69" s="220"/>
      <c r="C69" s="221"/>
      <c r="D69" s="21"/>
      <c r="E69" s="21"/>
      <c r="F69" s="21"/>
      <c r="G69" s="21"/>
      <c r="H69" s="21"/>
      <c r="I69" s="21"/>
      <c r="J69" s="21"/>
      <c r="K69" s="21"/>
      <c r="L69" s="21"/>
      <c r="M69" s="21"/>
      <c r="N69" s="21"/>
      <c r="O69" s="21"/>
      <c r="P69" s="21"/>
      <c r="Q69" s="21"/>
      <c r="R69" s="21"/>
      <c r="S69" s="21"/>
      <c r="T69" s="21"/>
      <c r="U69" s="21"/>
      <c r="V69" s="21"/>
      <c r="W69" s="21"/>
      <c r="X69" s="21"/>
      <c r="Y69" s="21"/>
      <c r="Z69" s="21"/>
      <c r="AA69" s="25"/>
      <c r="AB69" s="219"/>
      <c r="AC69" s="220"/>
      <c r="AD69" s="221"/>
      <c r="AE69" s="21"/>
      <c r="AF69" s="21"/>
      <c r="AG69" s="21"/>
      <c r="AH69" s="21"/>
      <c r="AI69" s="21"/>
      <c r="AJ69" s="21"/>
      <c r="AK69" s="21"/>
      <c r="AL69" s="21"/>
      <c r="AM69" s="21"/>
      <c r="AN69" s="21"/>
      <c r="AO69" s="21"/>
      <c r="AP69" s="21"/>
      <c r="AQ69" s="21"/>
      <c r="AR69" s="21"/>
      <c r="AS69" s="21"/>
      <c r="AT69" s="21"/>
      <c r="AU69" s="21"/>
      <c r="AV69" s="21"/>
      <c r="AW69" s="21"/>
      <c r="AX69" s="21"/>
      <c r="AY69" s="21"/>
      <c r="AZ69" s="25"/>
    </row>
    <row r="70" spans="1:52" ht="11.25" customHeight="1">
      <c r="A70" s="219"/>
      <c r="B70" s="220"/>
      <c r="C70" s="221"/>
      <c r="D70" s="21"/>
      <c r="E70" s="21"/>
      <c r="F70" s="21"/>
      <c r="G70" s="21"/>
      <c r="H70" s="21"/>
      <c r="I70" s="21"/>
      <c r="J70" s="21"/>
      <c r="K70" s="21"/>
      <c r="L70" s="21"/>
      <c r="M70" s="21"/>
      <c r="N70" s="21"/>
      <c r="O70" s="21"/>
      <c r="P70" s="21"/>
      <c r="Q70" s="21"/>
      <c r="R70" s="21"/>
      <c r="S70" s="21"/>
      <c r="T70" s="21"/>
      <c r="U70" s="21"/>
      <c r="V70" s="21"/>
      <c r="W70" s="21"/>
      <c r="X70" s="21"/>
      <c r="Y70" s="21"/>
      <c r="Z70" s="21"/>
      <c r="AA70" s="25"/>
      <c r="AB70" s="219"/>
      <c r="AC70" s="220"/>
      <c r="AD70" s="221"/>
      <c r="AE70" s="21"/>
      <c r="AF70" s="21"/>
      <c r="AG70" s="21"/>
      <c r="AH70" s="21"/>
      <c r="AI70" s="21"/>
      <c r="AJ70" s="21"/>
      <c r="AK70" s="21"/>
      <c r="AL70" s="21"/>
      <c r="AM70" s="21"/>
      <c r="AN70" s="21"/>
      <c r="AO70" s="21"/>
      <c r="AP70" s="21"/>
      <c r="AQ70" s="21"/>
      <c r="AR70" s="21"/>
      <c r="AS70" s="21"/>
      <c r="AT70" s="21"/>
      <c r="AU70" s="21"/>
      <c r="AV70" s="21"/>
      <c r="AW70" s="21"/>
      <c r="AX70" s="21"/>
      <c r="AY70" s="21"/>
      <c r="AZ70" s="25"/>
    </row>
    <row r="71" spans="1:52" ht="11.25" customHeight="1">
      <c r="A71" s="219"/>
      <c r="B71" s="220"/>
      <c r="C71" s="221"/>
      <c r="D71" s="21"/>
      <c r="E71" s="21"/>
      <c r="F71" s="21"/>
      <c r="G71" s="21"/>
      <c r="H71" s="21"/>
      <c r="I71" s="21"/>
      <c r="J71" s="21"/>
      <c r="K71" s="21"/>
      <c r="L71" s="21"/>
      <c r="M71" s="21"/>
      <c r="N71" s="21"/>
      <c r="O71" s="21"/>
      <c r="P71" s="21"/>
      <c r="Q71" s="21"/>
      <c r="R71" s="21"/>
      <c r="S71" s="21"/>
      <c r="T71" s="21"/>
      <c r="U71" s="21"/>
      <c r="V71" s="21"/>
      <c r="W71" s="21"/>
      <c r="X71" s="21"/>
      <c r="Y71" s="21"/>
      <c r="Z71" s="21"/>
      <c r="AA71" s="25"/>
      <c r="AB71" s="219"/>
      <c r="AC71" s="220"/>
      <c r="AD71" s="221"/>
      <c r="AE71" s="21"/>
      <c r="AF71" s="21"/>
      <c r="AG71" s="21"/>
      <c r="AH71" s="21"/>
      <c r="AI71" s="21"/>
      <c r="AJ71" s="21"/>
      <c r="AK71" s="21"/>
      <c r="AL71" s="21"/>
      <c r="AM71" s="21"/>
      <c r="AN71" s="21"/>
      <c r="AO71" s="21"/>
      <c r="AP71" s="21"/>
      <c r="AQ71" s="21"/>
      <c r="AR71" s="21"/>
      <c r="AS71" s="21"/>
      <c r="AT71" s="21"/>
      <c r="AU71" s="21"/>
      <c r="AV71" s="21"/>
      <c r="AW71" s="21"/>
      <c r="AX71" s="21"/>
      <c r="AY71" s="21"/>
      <c r="AZ71" s="25"/>
    </row>
    <row r="72" spans="1:52" ht="11.25" customHeight="1">
      <c r="A72" s="219"/>
      <c r="B72" s="220"/>
      <c r="C72" s="221"/>
      <c r="D72" s="21"/>
      <c r="E72" s="21"/>
      <c r="F72" s="21"/>
      <c r="G72" s="21"/>
      <c r="H72" s="21"/>
      <c r="I72" s="21"/>
      <c r="J72" s="21"/>
      <c r="K72" s="21"/>
      <c r="L72" s="21"/>
      <c r="M72" s="21"/>
      <c r="N72" s="21"/>
      <c r="O72" s="21"/>
      <c r="P72" s="21"/>
      <c r="Q72" s="21"/>
      <c r="R72" s="21"/>
      <c r="S72" s="21"/>
      <c r="T72" s="21"/>
      <c r="U72" s="21"/>
      <c r="V72" s="21"/>
      <c r="W72" s="21"/>
      <c r="X72" s="21"/>
      <c r="Y72" s="21"/>
      <c r="Z72" s="21"/>
      <c r="AA72" s="25"/>
      <c r="AB72" s="219"/>
      <c r="AC72" s="220"/>
      <c r="AD72" s="221"/>
      <c r="AE72" s="21"/>
      <c r="AF72" s="21"/>
      <c r="AG72" s="21"/>
      <c r="AH72" s="21"/>
      <c r="AI72" s="21"/>
      <c r="AJ72" s="21"/>
      <c r="AK72" s="21"/>
      <c r="AL72" s="21"/>
      <c r="AM72" s="21"/>
      <c r="AN72" s="21"/>
      <c r="AO72" s="21"/>
      <c r="AP72" s="21"/>
      <c r="AQ72" s="21"/>
      <c r="AR72" s="21"/>
      <c r="AS72" s="21"/>
      <c r="AT72" s="21"/>
      <c r="AU72" s="21"/>
      <c r="AV72" s="21"/>
      <c r="AW72" s="21"/>
      <c r="AX72" s="21"/>
      <c r="AY72" s="21"/>
      <c r="AZ72" s="25"/>
    </row>
    <row r="73" spans="1:52" ht="7.5" customHeight="1">
      <c r="A73" s="219"/>
      <c r="B73" s="220"/>
      <c r="C73" s="221"/>
      <c r="D73" s="21"/>
      <c r="E73" s="21"/>
      <c r="F73" s="21"/>
      <c r="G73" s="21"/>
      <c r="H73" s="21"/>
      <c r="I73" s="21"/>
      <c r="J73" s="21"/>
      <c r="K73" s="21"/>
      <c r="L73" s="21"/>
      <c r="M73" s="21"/>
      <c r="N73" s="21"/>
      <c r="O73" s="21"/>
      <c r="P73" s="21"/>
      <c r="Q73" s="21"/>
      <c r="R73" s="21"/>
      <c r="S73" s="21"/>
      <c r="T73" s="21"/>
      <c r="U73" s="21"/>
      <c r="V73" s="21"/>
      <c r="W73" s="21"/>
      <c r="X73" s="21"/>
      <c r="Y73" s="21"/>
      <c r="Z73" s="21"/>
      <c r="AA73" s="25"/>
      <c r="AB73" s="219"/>
      <c r="AC73" s="220"/>
      <c r="AD73" s="221"/>
      <c r="AE73" s="21"/>
      <c r="AF73" s="21"/>
      <c r="AG73" s="21"/>
      <c r="AH73" s="21"/>
      <c r="AI73" s="21"/>
      <c r="AJ73" s="21"/>
      <c r="AK73" s="21"/>
      <c r="AL73" s="21"/>
      <c r="AM73" s="21"/>
      <c r="AN73" s="21"/>
      <c r="AO73" s="21"/>
      <c r="AP73" s="21"/>
      <c r="AQ73" s="21"/>
      <c r="AR73" s="21"/>
      <c r="AS73" s="21"/>
      <c r="AT73" s="21"/>
      <c r="AU73" s="21"/>
      <c r="AV73" s="21"/>
      <c r="AW73" s="21"/>
      <c r="AX73" s="21"/>
      <c r="AY73" s="21"/>
      <c r="AZ73" s="25"/>
    </row>
    <row r="74" spans="1:52" ht="5.25" customHeight="1" thickBot="1">
      <c r="A74" s="222"/>
      <c r="B74" s="223"/>
      <c r="C74" s="224"/>
      <c r="D74" s="27"/>
      <c r="E74" s="27"/>
      <c r="F74" s="27"/>
      <c r="G74" s="27"/>
      <c r="H74" s="27"/>
      <c r="I74" s="27"/>
      <c r="J74" s="27"/>
      <c r="K74" s="27"/>
      <c r="L74" s="27"/>
      <c r="M74" s="27"/>
      <c r="N74" s="27"/>
      <c r="O74" s="27"/>
      <c r="P74" s="27"/>
      <c r="Q74" s="27"/>
      <c r="R74" s="27"/>
      <c r="S74" s="27"/>
      <c r="T74" s="27"/>
      <c r="U74" s="27"/>
      <c r="V74" s="27"/>
      <c r="W74" s="27"/>
      <c r="X74" s="27"/>
      <c r="Y74" s="27"/>
      <c r="Z74" s="27"/>
      <c r="AA74" s="28"/>
      <c r="AB74" s="222"/>
      <c r="AC74" s="223"/>
      <c r="AD74" s="224"/>
      <c r="AE74" s="27"/>
      <c r="AF74" s="27"/>
      <c r="AG74" s="27"/>
      <c r="AH74" s="27"/>
      <c r="AI74" s="27"/>
      <c r="AJ74" s="27"/>
      <c r="AK74" s="27"/>
      <c r="AL74" s="27"/>
      <c r="AM74" s="27"/>
      <c r="AN74" s="27"/>
      <c r="AO74" s="27"/>
      <c r="AP74" s="27"/>
      <c r="AQ74" s="27"/>
      <c r="AR74" s="27"/>
      <c r="AS74" s="27"/>
      <c r="AT74" s="27"/>
      <c r="AU74" s="27"/>
      <c r="AV74" s="27"/>
      <c r="AW74" s="27"/>
      <c r="AX74" s="27"/>
      <c r="AY74" s="27"/>
      <c r="AZ74" s="28"/>
    </row>
    <row r="75" spans="1:52" ht="11.25" customHeight="1" thickTop="1">
      <c r="A75" s="92" t="s">
        <v>147</v>
      </c>
      <c r="B75" s="92"/>
      <c r="C75" s="92"/>
      <c r="D75" s="92"/>
      <c r="E75" s="92"/>
      <c r="F75" s="92"/>
      <c r="G75" s="92"/>
      <c r="H75" s="92"/>
      <c r="I75" s="92"/>
      <c r="J75" s="92"/>
      <c r="K75" s="92"/>
      <c r="L75" s="92"/>
      <c r="M75" s="92"/>
      <c r="N75" s="92"/>
      <c r="O75" s="92"/>
      <c r="P75" s="92"/>
      <c r="Q75" s="92"/>
      <c r="R75" s="92"/>
      <c r="S75" s="92"/>
      <c r="T75" s="92"/>
      <c r="U75" s="92"/>
      <c r="V75" s="92"/>
      <c r="W75" s="92"/>
      <c r="X75" s="92"/>
      <c r="Y75" s="92"/>
      <c r="Z75" s="92"/>
      <c r="AA75" s="92"/>
      <c r="AB75" s="92"/>
      <c r="AC75" s="92"/>
      <c r="AD75" s="92"/>
      <c r="AE75" s="92"/>
      <c r="AF75" s="92"/>
      <c r="AG75" s="92"/>
      <c r="AH75" s="92"/>
      <c r="AI75" s="92"/>
      <c r="AJ75" s="92"/>
      <c r="AK75" s="92"/>
      <c r="AL75" s="92"/>
      <c r="AM75" s="92"/>
      <c r="AN75" s="92"/>
      <c r="AO75" s="92"/>
      <c r="AP75" s="92"/>
      <c r="AQ75" s="92"/>
      <c r="AR75" s="92"/>
      <c r="AS75" s="92"/>
      <c r="AT75" s="92"/>
      <c r="AU75" s="92"/>
      <c r="AV75" s="92"/>
      <c r="AW75" s="92"/>
      <c r="AX75" s="92"/>
      <c r="AY75" s="92"/>
      <c r="AZ75" s="92"/>
    </row>
    <row r="76" spans="1:52" ht="11.25" customHeight="1">
      <c r="A76" s="92"/>
      <c r="B76" s="92"/>
      <c r="C76" s="92"/>
      <c r="D76" s="92"/>
      <c r="E76" s="92"/>
      <c r="F76" s="92"/>
      <c r="G76" s="92"/>
      <c r="H76" s="92"/>
      <c r="I76" s="92"/>
      <c r="J76" s="92"/>
      <c r="K76" s="92"/>
      <c r="L76" s="92"/>
      <c r="M76" s="92"/>
      <c r="N76" s="92"/>
      <c r="O76" s="92"/>
      <c r="P76" s="92"/>
      <c r="Q76" s="92"/>
      <c r="R76" s="92"/>
      <c r="S76" s="92"/>
      <c r="T76" s="92"/>
      <c r="U76" s="92"/>
      <c r="V76" s="92"/>
      <c r="W76" s="92"/>
      <c r="X76" s="92"/>
      <c r="Y76" s="92"/>
      <c r="Z76" s="92"/>
      <c r="AA76" s="92"/>
      <c r="AB76" s="92"/>
      <c r="AC76" s="92"/>
      <c r="AD76" s="92"/>
      <c r="AE76" s="92"/>
      <c r="AF76" s="92"/>
      <c r="AG76" s="92"/>
      <c r="AH76" s="92"/>
      <c r="AI76" s="92"/>
      <c r="AJ76" s="92"/>
      <c r="AK76" s="92"/>
      <c r="AL76" s="92"/>
      <c r="AM76" s="92"/>
      <c r="AN76" s="92"/>
      <c r="AO76" s="92"/>
      <c r="AP76" s="92"/>
      <c r="AQ76" s="92"/>
      <c r="AR76" s="92"/>
      <c r="AS76" s="92"/>
      <c r="AT76" s="92"/>
      <c r="AU76" s="92"/>
      <c r="AV76" s="92"/>
      <c r="AW76" s="92"/>
      <c r="AX76" s="92"/>
      <c r="AY76" s="92"/>
      <c r="AZ76" s="92"/>
    </row>
    <row r="77" spans="1:52" ht="11.25" customHeight="1">
      <c r="A77" s="92"/>
      <c r="B77" s="92"/>
      <c r="C77" s="92"/>
      <c r="D77" s="92"/>
      <c r="E77" s="92"/>
      <c r="F77" s="92"/>
      <c r="G77" s="92"/>
      <c r="H77" s="92"/>
      <c r="I77" s="92"/>
      <c r="J77" s="92"/>
      <c r="K77" s="92"/>
      <c r="L77" s="92"/>
      <c r="M77" s="92"/>
      <c r="N77" s="92"/>
      <c r="O77" s="92"/>
      <c r="P77" s="92"/>
      <c r="Q77" s="92"/>
      <c r="R77" s="92"/>
      <c r="S77" s="92"/>
      <c r="T77" s="92"/>
      <c r="U77" s="92"/>
      <c r="V77" s="92"/>
      <c r="W77" s="92"/>
      <c r="X77" s="92"/>
      <c r="Y77" s="92"/>
      <c r="Z77" s="92"/>
      <c r="AA77" s="92"/>
      <c r="AB77" s="92"/>
      <c r="AC77" s="92"/>
      <c r="AD77" s="92"/>
      <c r="AE77" s="92"/>
      <c r="AF77" s="92"/>
      <c r="AG77" s="92"/>
      <c r="AH77" s="92"/>
      <c r="AI77" s="92"/>
      <c r="AJ77" s="92"/>
      <c r="AK77" s="92"/>
      <c r="AL77" s="92"/>
      <c r="AM77" s="92"/>
      <c r="AN77" s="92"/>
      <c r="AO77" s="92"/>
      <c r="AP77" s="92"/>
      <c r="AQ77" s="92"/>
      <c r="AR77" s="92"/>
      <c r="AS77" s="92"/>
      <c r="AT77" s="92"/>
      <c r="AU77" s="92"/>
      <c r="AV77" s="92"/>
      <c r="AW77" s="92"/>
      <c r="AX77" s="92"/>
      <c r="AY77" s="92"/>
      <c r="AZ77" s="92"/>
    </row>
  </sheetData>
  <protectedRanges>
    <protectedRange sqref="D55:AA74" name="範圍1"/>
    <protectedRange sqref="AE55:AZ74" name="範圍2"/>
  </protectedRanges>
  <mergeCells count="160">
    <mergeCell ref="A42:H44"/>
    <mergeCell ref="AL20:AW21"/>
    <mergeCell ref="AX18:AZ19"/>
    <mergeCell ref="AX20:AZ21"/>
    <mergeCell ref="AL22:AW23"/>
    <mergeCell ref="AJ49:AM50"/>
    <mergeCell ref="AJ47:AM48"/>
    <mergeCell ref="AE47:AI48"/>
    <mergeCell ref="AY45:AZ46"/>
    <mergeCell ref="I45:AA46"/>
    <mergeCell ref="A45:H46"/>
    <mergeCell ref="AN47:AQ48"/>
    <mergeCell ref="I26:Q27"/>
    <mergeCell ref="AR45:AX46"/>
    <mergeCell ref="AW49:AZ50"/>
    <mergeCell ref="AW47:AZ48"/>
    <mergeCell ref="AR47:AV48"/>
    <mergeCell ref="AR49:AV50"/>
    <mergeCell ref="AN49:AQ50"/>
    <mergeCell ref="AE45:AQ46"/>
    <mergeCell ref="AE49:AI50"/>
    <mergeCell ref="A38:H39"/>
    <mergeCell ref="A40:H41"/>
    <mergeCell ref="I36:Q37"/>
    <mergeCell ref="A36:H37"/>
    <mergeCell ref="A34:H35"/>
    <mergeCell ref="A28:H29"/>
    <mergeCell ref="I30:Q31"/>
    <mergeCell ref="I40:AA41"/>
    <mergeCell ref="I38:Q39"/>
    <mergeCell ref="AB31:AD46"/>
    <mergeCell ref="AE22:AK23"/>
    <mergeCell ref="I22:AA23"/>
    <mergeCell ref="I42:AA44"/>
    <mergeCell ref="M28:Q29"/>
    <mergeCell ref="I34:Q35"/>
    <mergeCell ref="I28:L29"/>
    <mergeCell ref="A30:H31"/>
    <mergeCell ref="A18:H19"/>
    <mergeCell ref="AE20:AK21"/>
    <mergeCell ref="AL28:AW30"/>
    <mergeCell ref="X24:AA25"/>
    <mergeCell ref="A32:H33"/>
    <mergeCell ref="A26:H27"/>
    <mergeCell ref="I24:L25"/>
    <mergeCell ref="A24:H25"/>
    <mergeCell ref="AE24:AK25"/>
    <mergeCell ref="I32:Q33"/>
    <mergeCell ref="A11:H13"/>
    <mergeCell ref="A16:H17"/>
    <mergeCell ref="I18:AA19"/>
    <mergeCell ref="A20:H21"/>
    <mergeCell ref="A22:H23"/>
    <mergeCell ref="AE18:AK19"/>
    <mergeCell ref="I11:T13"/>
    <mergeCell ref="I20:Q21"/>
    <mergeCell ref="R20:U21"/>
    <mergeCell ref="V20:AA21"/>
    <mergeCell ref="AB6:AK10"/>
    <mergeCell ref="AE16:AK17"/>
    <mergeCell ref="AB14:AD30"/>
    <mergeCell ref="AE26:AK27"/>
    <mergeCell ref="T24:W25"/>
    <mergeCell ref="AL16:AW17"/>
    <mergeCell ref="AX6:AZ10"/>
    <mergeCell ref="AR6:AW10"/>
    <mergeCell ref="AL6:AN10"/>
    <mergeCell ref="AO6:AQ10"/>
    <mergeCell ref="U11:AZ13"/>
    <mergeCell ref="AU1:AZ5"/>
    <mergeCell ref="A14:H15"/>
    <mergeCell ref="AE14:AK15"/>
    <mergeCell ref="I14:AA15"/>
    <mergeCell ref="AL14:AW15"/>
    <mergeCell ref="A6:C10"/>
    <mergeCell ref="D6:X10"/>
    <mergeCell ref="Y6:AA10"/>
    <mergeCell ref="Y1:AT5"/>
    <mergeCell ref="AX14:AZ15"/>
    <mergeCell ref="A55:C74"/>
    <mergeCell ref="AB55:AD74"/>
    <mergeCell ref="A47:C54"/>
    <mergeCell ref="AB47:AD54"/>
    <mergeCell ref="D47:AA48"/>
    <mergeCell ref="D49:AA50"/>
    <mergeCell ref="D51:AA52"/>
    <mergeCell ref="D53:AA54"/>
    <mergeCell ref="AJ51:AM52"/>
    <mergeCell ref="AN53:AQ54"/>
    <mergeCell ref="AE53:AI54"/>
    <mergeCell ref="AJ53:AM54"/>
    <mergeCell ref="AN51:AS52"/>
    <mergeCell ref="AE51:AI52"/>
    <mergeCell ref="AR53:AZ54"/>
    <mergeCell ref="AW51:AZ52"/>
    <mergeCell ref="AT51:AV52"/>
    <mergeCell ref="AX28:AZ30"/>
    <mergeCell ref="AX26:AZ27"/>
    <mergeCell ref="AE28:AK30"/>
    <mergeCell ref="AL26:AW27"/>
    <mergeCell ref="AE31:AG31"/>
    <mergeCell ref="AH31:AQ31"/>
    <mergeCell ref="AR31:AU31"/>
    <mergeCell ref="M24:S25"/>
    <mergeCell ref="I16:Q17"/>
    <mergeCell ref="R16:U17"/>
    <mergeCell ref="Z16:AA17"/>
    <mergeCell ref="V16:Y17"/>
    <mergeCell ref="AX24:AZ25"/>
    <mergeCell ref="AL18:AW19"/>
    <mergeCell ref="AL24:AW25"/>
    <mergeCell ref="AX22:AZ23"/>
    <mergeCell ref="AX16:AZ17"/>
    <mergeCell ref="AV31:AX31"/>
    <mergeCell ref="AY31:AZ31"/>
    <mergeCell ref="AE32:AG32"/>
    <mergeCell ref="AH32:AQ32"/>
    <mergeCell ref="AR32:AU32"/>
    <mergeCell ref="AV32:AX32"/>
    <mergeCell ref="AY32:AZ32"/>
    <mergeCell ref="AE34:AG34"/>
    <mergeCell ref="AH34:AQ34"/>
    <mergeCell ref="AR34:AU34"/>
    <mergeCell ref="AV34:AX34"/>
    <mergeCell ref="AY34:AZ34"/>
    <mergeCell ref="AE35:AG35"/>
    <mergeCell ref="AH35:AQ35"/>
    <mergeCell ref="AR35:AU35"/>
    <mergeCell ref="AV35:AX35"/>
    <mergeCell ref="AY35:AZ35"/>
    <mergeCell ref="AE37:AG37"/>
    <mergeCell ref="AH37:AQ37"/>
    <mergeCell ref="AR37:AU37"/>
    <mergeCell ref="AV37:AX37"/>
    <mergeCell ref="AY37:AZ37"/>
    <mergeCell ref="AE38:AG38"/>
    <mergeCell ref="AH38:AQ38"/>
    <mergeCell ref="AR38:AU38"/>
    <mergeCell ref="AV38:AX38"/>
    <mergeCell ref="AY38:AZ38"/>
    <mergeCell ref="AE40:AG40"/>
    <mergeCell ref="AH40:AQ40"/>
    <mergeCell ref="AR40:AU40"/>
    <mergeCell ref="AV40:AX40"/>
    <mergeCell ref="AY40:AZ40"/>
    <mergeCell ref="AE41:AG41"/>
    <mergeCell ref="AH41:AQ41"/>
    <mergeCell ref="AR41:AU41"/>
    <mergeCell ref="AV41:AX41"/>
    <mergeCell ref="AY41:AZ41"/>
    <mergeCell ref="AE43:AG43"/>
    <mergeCell ref="AH43:AQ43"/>
    <mergeCell ref="AR43:AU43"/>
    <mergeCell ref="AV43:AX43"/>
    <mergeCell ref="AY43:AZ43"/>
    <mergeCell ref="AE44:AG44"/>
    <mergeCell ref="AH44:AQ44"/>
    <mergeCell ref="AR44:AU44"/>
    <mergeCell ref="AV44:AX44"/>
    <mergeCell ref="AY44:AZ44"/>
  </mergeCells>
  <phoneticPr fontId="2" type="noConversion"/>
  <pageMargins left="0.43307086614173229" right="0" top="0.39370078740157483" bottom="0.39370078740157483" header="0.51181102362204722" footer="0.51181102362204722"/>
  <pageSetup paperSize="9" orientation="portrait"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AX75"/>
  <sheetViews>
    <sheetView topLeftCell="A19" workbookViewId="0">
      <selection activeCell="E29" sqref="E29"/>
    </sheetView>
  </sheetViews>
  <sheetFormatPr defaultColWidth="1.625" defaultRowHeight="9.75" customHeight="1"/>
  <cols>
    <col min="1" max="16384" width="1.625" style="67"/>
  </cols>
  <sheetData>
    <row r="1" spans="2:50" ht="9.75" customHeight="1" thickBot="1"/>
    <row r="2" spans="2:50" ht="9.75" customHeight="1" thickTop="1">
      <c r="B2" s="64"/>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6"/>
    </row>
    <row r="3" spans="2:50" ht="9.75" customHeight="1">
      <c r="B3" s="68"/>
      <c r="AX3" s="69"/>
    </row>
    <row r="4" spans="2:50" ht="9.75" customHeight="1">
      <c r="B4" s="68"/>
      <c r="AX4" s="69"/>
    </row>
    <row r="5" spans="2:50" ht="9.75" customHeight="1">
      <c r="B5" s="68"/>
      <c r="AX5" s="69"/>
    </row>
    <row r="6" spans="2:50" ht="9.75" customHeight="1">
      <c r="B6" s="68"/>
      <c r="AX6" s="69"/>
    </row>
    <row r="7" spans="2:50" ht="9.75" customHeight="1">
      <c r="B7" s="68"/>
      <c r="C7" s="315" t="s">
        <v>65</v>
      </c>
      <c r="D7" s="315"/>
      <c r="E7" s="315"/>
      <c r="F7" s="315"/>
      <c r="G7" s="315"/>
      <c r="H7" s="315"/>
      <c r="I7" s="315"/>
      <c r="J7" s="315"/>
      <c r="K7" s="315"/>
      <c r="L7" s="315"/>
      <c r="M7" s="315"/>
      <c r="N7" s="328" t="str">
        <f>'秘書-input'!B1</f>
        <v>西門黃金店面</v>
      </c>
      <c r="O7" s="328"/>
      <c r="P7" s="328"/>
      <c r="Q7" s="328"/>
      <c r="R7" s="328"/>
      <c r="S7" s="328"/>
      <c r="T7" s="328"/>
      <c r="U7" s="328"/>
      <c r="V7" s="328"/>
      <c r="W7" s="328"/>
      <c r="X7" s="328"/>
      <c r="Y7" s="328"/>
      <c r="Z7" s="328"/>
      <c r="AA7" s="328"/>
      <c r="AB7" s="328"/>
      <c r="AC7" s="328"/>
      <c r="AD7" s="328"/>
      <c r="AE7" s="328"/>
      <c r="AF7" s="328"/>
      <c r="AG7" s="328"/>
      <c r="AH7" s="328"/>
      <c r="AI7" s="328"/>
      <c r="AJ7" s="328"/>
      <c r="AK7" s="328"/>
      <c r="AL7" s="328"/>
      <c r="AM7" s="328"/>
      <c r="AN7" s="328"/>
      <c r="AO7" s="328"/>
      <c r="AP7" s="328"/>
      <c r="AQ7" s="328"/>
      <c r="AR7" s="328"/>
      <c r="AS7" s="328"/>
      <c r="AT7" s="328"/>
      <c r="AU7" s="328"/>
      <c r="AV7" s="328"/>
      <c r="AW7" s="328"/>
      <c r="AX7" s="69"/>
    </row>
    <row r="8" spans="2:50" ht="9.75" customHeight="1">
      <c r="B8" s="68"/>
      <c r="C8" s="315"/>
      <c r="D8" s="315"/>
      <c r="E8" s="315"/>
      <c r="F8" s="315"/>
      <c r="G8" s="315"/>
      <c r="H8" s="315"/>
      <c r="I8" s="315"/>
      <c r="J8" s="315"/>
      <c r="K8" s="315"/>
      <c r="L8" s="315"/>
      <c r="M8" s="315"/>
      <c r="N8" s="328"/>
      <c r="O8" s="328"/>
      <c r="P8" s="328"/>
      <c r="Q8" s="328"/>
      <c r="R8" s="328"/>
      <c r="S8" s="328"/>
      <c r="T8" s="328"/>
      <c r="U8" s="328"/>
      <c r="V8" s="328"/>
      <c r="W8" s="328"/>
      <c r="X8" s="328"/>
      <c r="Y8" s="328"/>
      <c r="Z8" s="328"/>
      <c r="AA8" s="328"/>
      <c r="AB8" s="328"/>
      <c r="AC8" s="328"/>
      <c r="AD8" s="328"/>
      <c r="AE8" s="328"/>
      <c r="AF8" s="328"/>
      <c r="AG8" s="328"/>
      <c r="AH8" s="328"/>
      <c r="AI8" s="328"/>
      <c r="AJ8" s="328"/>
      <c r="AK8" s="328"/>
      <c r="AL8" s="328"/>
      <c r="AM8" s="328"/>
      <c r="AN8" s="328"/>
      <c r="AO8" s="328"/>
      <c r="AP8" s="328"/>
      <c r="AQ8" s="328"/>
      <c r="AR8" s="328"/>
      <c r="AS8" s="328"/>
      <c r="AT8" s="328"/>
      <c r="AU8" s="328"/>
      <c r="AV8" s="328"/>
      <c r="AW8" s="328"/>
      <c r="AX8" s="69"/>
    </row>
    <row r="9" spans="2:50" ht="9.75" customHeight="1">
      <c r="B9" s="68"/>
      <c r="C9" s="315" t="s">
        <v>66</v>
      </c>
      <c r="D9" s="315"/>
      <c r="E9" s="315"/>
      <c r="F9" s="315"/>
      <c r="G9" s="315"/>
      <c r="H9" s="315"/>
      <c r="I9" s="315"/>
      <c r="J9" s="315"/>
      <c r="K9" s="315"/>
      <c r="L9" s="315"/>
      <c r="M9" s="315"/>
      <c r="N9" s="329" t="str">
        <f>'秘書-input'!B4</f>
        <v xml:space="preserve">台北市萬華區      </v>
      </c>
      <c r="O9" s="329"/>
      <c r="P9" s="329"/>
      <c r="Q9" s="329"/>
      <c r="R9" s="329"/>
      <c r="S9" s="329"/>
      <c r="T9" s="329"/>
      <c r="U9" s="329"/>
      <c r="V9" s="329" t="str">
        <f>'秘書-input'!C4</f>
        <v>成都路</v>
      </c>
      <c r="W9" s="329"/>
      <c r="X9" s="329"/>
      <c r="Y9" s="329"/>
      <c r="Z9" s="329"/>
      <c r="AA9" s="329"/>
      <c r="AB9" s="329"/>
      <c r="AC9" s="329"/>
      <c r="AD9" s="329"/>
      <c r="AE9" s="329"/>
      <c r="AF9" s="329"/>
      <c r="AG9" s="329"/>
      <c r="AH9" s="329"/>
      <c r="AI9" s="329"/>
      <c r="AJ9" s="329"/>
      <c r="AK9" s="328" t="str">
        <f>'秘書-input'!D4</f>
        <v>92號</v>
      </c>
      <c r="AL9" s="328"/>
      <c r="AM9" s="328"/>
      <c r="AN9" s="328"/>
      <c r="AO9" s="328"/>
      <c r="AP9" s="328"/>
      <c r="AQ9" s="328"/>
      <c r="AR9" s="328"/>
      <c r="AS9" s="328"/>
      <c r="AT9" s="328"/>
      <c r="AU9" s="86"/>
      <c r="AV9" s="86"/>
      <c r="AW9" s="86"/>
      <c r="AX9" s="137"/>
    </row>
    <row r="10" spans="2:50" ht="9.75" customHeight="1">
      <c r="B10" s="68"/>
      <c r="C10" s="315"/>
      <c r="D10" s="315"/>
      <c r="E10" s="315"/>
      <c r="F10" s="315"/>
      <c r="G10" s="315"/>
      <c r="H10" s="315"/>
      <c r="I10" s="315"/>
      <c r="J10" s="315"/>
      <c r="K10" s="315"/>
      <c r="L10" s="315"/>
      <c r="M10" s="315"/>
      <c r="N10" s="329"/>
      <c r="O10" s="329"/>
      <c r="P10" s="329"/>
      <c r="Q10" s="329"/>
      <c r="R10" s="329"/>
      <c r="S10" s="329"/>
      <c r="T10" s="329"/>
      <c r="U10" s="329"/>
      <c r="V10" s="329"/>
      <c r="W10" s="329"/>
      <c r="X10" s="329"/>
      <c r="Y10" s="329"/>
      <c r="Z10" s="329"/>
      <c r="AA10" s="329"/>
      <c r="AB10" s="329"/>
      <c r="AC10" s="329"/>
      <c r="AD10" s="329"/>
      <c r="AE10" s="329"/>
      <c r="AF10" s="329"/>
      <c r="AG10" s="329"/>
      <c r="AH10" s="329"/>
      <c r="AI10" s="329"/>
      <c r="AJ10" s="329"/>
      <c r="AK10" s="328"/>
      <c r="AL10" s="328"/>
      <c r="AM10" s="328"/>
      <c r="AN10" s="328"/>
      <c r="AO10" s="328"/>
      <c r="AP10" s="328"/>
      <c r="AQ10" s="328"/>
      <c r="AR10" s="328"/>
      <c r="AS10" s="328"/>
      <c r="AT10" s="328"/>
      <c r="AU10" s="86"/>
      <c r="AV10" s="86"/>
      <c r="AW10" s="86"/>
      <c r="AX10" s="137"/>
    </row>
    <row r="11" spans="2:50" ht="9.75" customHeight="1">
      <c r="B11" s="68"/>
      <c r="C11" s="315" t="s">
        <v>67</v>
      </c>
      <c r="D11" s="315"/>
      <c r="E11" s="315"/>
      <c r="F11" s="315"/>
      <c r="G11" s="315"/>
      <c r="H11" s="315"/>
      <c r="I11" s="315"/>
      <c r="J11" s="315"/>
      <c r="K11" s="315"/>
      <c r="L11" s="315"/>
      <c r="M11" s="315"/>
      <c r="N11" s="315" t="str">
        <f>'秘書-input'!B5</f>
        <v>住商仁愛鳳翔加盟店 (願景不動產仲介股份有限公司)</v>
      </c>
      <c r="O11" s="315"/>
      <c r="P11" s="315"/>
      <c r="Q11" s="315"/>
      <c r="R11" s="315"/>
      <c r="S11" s="315"/>
      <c r="T11" s="315"/>
      <c r="U11" s="315"/>
      <c r="V11" s="315"/>
      <c r="W11" s="315"/>
      <c r="X11" s="315"/>
      <c r="Y11" s="315"/>
      <c r="Z11" s="315"/>
      <c r="AA11" s="315"/>
      <c r="AB11" s="315"/>
      <c r="AC11" s="315"/>
      <c r="AD11" s="315"/>
      <c r="AE11" s="315"/>
      <c r="AF11" s="315"/>
      <c r="AG11" s="315"/>
      <c r="AH11" s="315"/>
      <c r="AI11" s="315"/>
      <c r="AJ11" s="315"/>
      <c r="AK11" s="315"/>
      <c r="AL11" s="315"/>
      <c r="AM11" s="315"/>
      <c r="AN11" s="315"/>
      <c r="AO11" s="315"/>
      <c r="AP11" s="315"/>
      <c r="AQ11" s="315"/>
      <c r="AR11" s="315"/>
      <c r="AS11" s="315"/>
      <c r="AT11" s="315"/>
      <c r="AU11" s="315"/>
      <c r="AV11" s="315"/>
      <c r="AW11" s="315"/>
      <c r="AX11" s="69"/>
    </row>
    <row r="12" spans="2:50" ht="9.75" customHeight="1">
      <c r="B12" s="68"/>
      <c r="C12" s="315"/>
      <c r="D12" s="315"/>
      <c r="E12" s="315"/>
      <c r="F12" s="315"/>
      <c r="G12" s="315"/>
      <c r="H12" s="315"/>
      <c r="I12" s="315"/>
      <c r="J12" s="315"/>
      <c r="K12" s="315"/>
      <c r="L12" s="315"/>
      <c r="M12" s="315"/>
      <c r="N12" s="315"/>
      <c r="O12" s="315"/>
      <c r="P12" s="315"/>
      <c r="Q12" s="315"/>
      <c r="R12" s="315"/>
      <c r="S12" s="315"/>
      <c r="T12" s="315"/>
      <c r="U12" s="315"/>
      <c r="V12" s="315"/>
      <c r="W12" s="315"/>
      <c r="X12" s="315"/>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69"/>
    </row>
    <row r="13" spans="2:50" ht="9.75" customHeight="1">
      <c r="B13" s="68"/>
      <c r="C13" s="315" t="s">
        <v>68</v>
      </c>
      <c r="D13" s="315"/>
      <c r="E13" s="315"/>
      <c r="F13" s="315"/>
      <c r="G13" s="315"/>
      <c r="H13" s="315"/>
      <c r="I13" s="315"/>
      <c r="J13" s="315"/>
      <c r="K13" s="315"/>
      <c r="L13" s="315"/>
      <c r="M13" s="315"/>
      <c r="N13" s="315"/>
      <c r="O13" s="315"/>
      <c r="P13" s="315"/>
      <c r="Q13" s="315"/>
      <c r="R13" s="315"/>
      <c r="S13" s="315"/>
      <c r="T13" s="315"/>
      <c r="U13" s="315"/>
      <c r="V13" s="315"/>
      <c r="W13" s="315"/>
      <c r="X13" s="315"/>
      <c r="Y13" s="315"/>
      <c r="Z13" s="315"/>
      <c r="AA13" s="315"/>
      <c r="AB13" s="315"/>
      <c r="AC13" s="315"/>
      <c r="AD13" s="315"/>
      <c r="AE13" s="315"/>
      <c r="AF13" s="315"/>
      <c r="AG13" s="315"/>
      <c r="AH13" s="315"/>
      <c r="AI13" s="315"/>
      <c r="AJ13" s="315"/>
      <c r="AK13" s="315"/>
      <c r="AL13" s="315"/>
      <c r="AM13" s="315"/>
      <c r="AN13" s="315"/>
      <c r="AO13" s="315"/>
      <c r="AP13" s="315"/>
      <c r="AQ13" s="315"/>
      <c r="AR13" s="315"/>
      <c r="AS13" s="315"/>
      <c r="AT13" s="315"/>
      <c r="AU13" s="315"/>
      <c r="AV13" s="315"/>
      <c r="AW13" s="315"/>
      <c r="AX13" s="69"/>
    </row>
    <row r="14" spans="2:50" ht="9.75" customHeight="1">
      <c r="B14" s="68"/>
      <c r="C14" s="315"/>
      <c r="D14" s="315"/>
      <c r="E14" s="315"/>
      <c r="F14" s="315"/>
      <c r="G14" s="315"/>
      <c r="H14" s="315"/>
      <c r="I14" s="315"/>
      <c r="J14" s="315"/>
      <c r="K14" s="315"/>
      <c r="L14" s="315"/>
      <c r="M14" s="315"/>
      <c r="N14" s="315"/>
      <c r="O14" s="315"/>
      <c r="P14" s="315"/>
      <c r="Q14" s="315"/>
      <c r="R14" s="315"/>
      <c r="S14" s="315"/>
      <c r="T14" s="315"/>
      <c r="U14" s="315"/>
      <c r="V14" s="315"/>
      <c r="W14" s="315"/>
      <c r="X14" s="315"/>
      <c r="Y14" s="315"/>
      <c r="Z14" s="315"/>
      <c r="AA14" s="315"/>
      <c r="AB14" s="315"/>
      <c r="AC14" s="315"/>
      <c r="AD14" s="315"/>
      <c r="AE14" s="315"/>
      <c r="AF14" s="315"/>
      <c r="AG14" s="315"/>
      <c r="AH14" s="315"/>
      <c r="AI14" s="315"/>
      <c r="AJ14" s="315"/>
      <c r="AK14" s="315"/>
      <c r="AL14" s="315"/>
      <c r="AM14" s="315"/>
      <c r="AN14" s="315"/>
      <c r="AO14" s="315"/>
      <c r="AP14" s="315"/>
      <c r="AQ14" s="315"/>
      <c r="AR14" s="315"/>
      <c r="AS14" s="315"/>
      <c r="AT14" s="315"/>
      <c r="AU14" s="315"/>
      <c r="AV14" s="315"/>
      <c r="AW14" s="315"/>
      <c r="AX14" s="69"/>
    </row>
    <row r="15" spans="2:50" ht="9.75" customHeight="1" thickBot="1">
      <c r="B15" s="68"/>
      <c r="AX15" s="69"/>
    </row>
    <row r="16" spans="2:50" ht="9.75" customHeight="1" thickTop="1">
      <c r="B16" s="68"/>
      <c r="C16" s="319" t="s">
        <v>145</v>
      </c>
      <c r="D16" s="320"/>
      <c r="E16" s="320"/>
      <c r="F16" s="320"/>
      <c r="G16" s="320"/>
      <c r="H16" s="320"/>
      <c r="I16" s="320"/>
      <c r="J16" s="320"/>
      <c r="K16" s="320"/>
      <c r="L16" s="320"/>
      <c r="M16" s="320"/>
      <c r="N16" s="320"/>
      <c r="O16" s="320"/>
      <c r="P16" s="321"/>
      <c r="Q16" s="319" t="s">
        <v>146</v>
      </c>
      <c r="R16" s="320"/>
      <c r="S16" s="320"/>
      <c r="T16" s="320"/>
      <c r="U16" s="320"/>
      <c r="V16" s="320"/>
      <c r="W16" s="320"/>
      <c r="X16" s="320"/>
      <c r="Y16" s="320"/>
      <c r="Z16" s="320"/>
      <c r="AA16" s="320"/>
      <c r="AB16" s="320"/>
      <c r="AC16" s="320"/>
      <c r="AD16" s="320"/>
      <c r="AE16" s="320"/>
      <c r="AF16" s="320"/>
      <c r="AG16" s="320"/>
      <c r="AH16" s="320"/>
      <c r="AI16" s="320"/>
      <c r="AJ16" s="320"/>
      <c r="AK16" s="320"/>
      <c r="AL16" s="320"/>
      <c r="AM16" s="320"/>
      <c r="AN16" s="320"/>
      <c r="AO16" s="320"/>
      <c r="AP16" s="320"/>
      <c r="AQ16" s="320"/>
      <c r="AR16" s="320"/>
      <c r="AS16" s="320"/>
      <c r="AT16" s="320"/>
      <c r="AU16" s="320"/>
      <c r="AV16" s="320"/>
      <c r="AW16" s="321"/>
      <c r="AX16" s="69"/>
    </row>
    <row r="17" spans="2:50" ht="9.75" customHeight="1">
      <c r="B17" s="68"/>
      <c r="C17" s="322"/>
      <c r="D17" s="323"/>
      <c r="E17" s="323"/>
      <c r="F17" s="323"/>
      <c r="G17" s="323"/>
      <c r="H17" s="323"/>
      <c r="I17" s="323"/>
      <c r="J17" s="323"/>
      <c r="K17" s="323"/>
      <c r="L17" s="323"/>
      <c r="M17" s="323"/>
      <c r="N17" s="323"/>
      <c r="O17" s="323"/>
      <c r="P17" s="324"/>
      <c r="Q17" s="322"/>
      <c r="R17" s="323"/>
      <c r="S17" s="323"/>
      <c r="T17" s="323"/>
      <c r="U17" s="323"/>
      <c r="V17" s="323"/>
      <c r="W17" s="323"/>
      <c r="X17" s="323"/>
      <c r="Y17" s="323"/>
      <c r="Z17" s="323"/>
      <c r="AA17" s="323"/>
      <c r="AB17" s="323"/>
      <c r="AC17" s="323"/>
      <c r="AD17" s="323"/>
      <c r="AE17" s="323"/>
      <c r="AF17" s="323"/>
      <c r="AG17" s="323"/>
      <c r="AH17" s="323"/>
      <c r="AI17" s="323"/>
      <c r="AJ17" s="323"/>
      <c r="AK17" s="323"/>
      <c r="AL17" s="323"/>
      <c r="AM17" s="323"/>
      <c r="AN17" s="323"/>
      <c r="AO17" s="323"/>
      <c r="AP17" s="323"/>
      <c r="AQ17" s="323"/>
      <c r="AR17" s="323"/>
      <c r="AS17" s="323"/>
      <c r="AT17" s="323"/>
      <c r="AU17" s="323"/>
      <c r="AV17" s="323"/>
      <c r="AW17" s="324"/>
      <c r="AX17" s="69"/>
    </row>
    <row r="18" spans="2:50" ht="9.75" customHeight="1" thickBot="1">
      <c r="B18" s="68"/>
      <c r="C18" s="325"/>
      <c r="D18" s="326"/>
      <c r="E18" s="326"/>
      <c r="F18" s="326"/>
      <c r="G18" s="326"/>
      <c r="H18" s="326"/>
      <c r="I18" s="326"/>
      <c r="J18" s="326"/>
      <c r="K18" s="326"/>
      <c r="L18" s="326"/>
      <c r="M18" s="326"/>
      <c r="N18" s="326"/>
      <c r="O18" s="326"/>
      <c r="P18" s="327"/>
      <c r="Q18" s="325"/>
      <c r="R18" s="326"/>
      <c r="S18" s="326"/>
      <c r="T18" s="326"/>
      <c r="U18" s="326"/>
      <c r="V18" s="326"/>
      <c r="W18" s="326"/>
      <c r="X18" s="326"/>
      <c r="Y18" s="326"/>
      <c r="Z18" s="326"/>
      <c r="AA18" s="326"/>
      <c r="AB18" s="326"/>
      <c r="AC18" s="326"/>
      <c r="AD18" s="326"/>
      <c r="AE18" s="326"/>
      <c r="AF18" s="326"/>
      <c r="AG18" s="326"/>
      <c r="AH18" s="326"/>
      <c r="AI18" s="326"/>
      <c r="AJ18" s="326"/>
      <c r="AK18" s="326"/>
      <c r="AL18" s="326"/>
      <c r="AM18" s="326"/>
      <c r="AN18" s="326"/>
      <c r="AO18" s="326"/>
      <c r="AP18" s="326"/>
      <c r="AQ18" s="326"/>
      <c r="AR18" s="326"/>
      <c r="AS18" s="326"/>
      <c r="AT18" s="326"/>
      <c r="AU18" s="326"/>
      <c r="AV18" s="326"/>
      <c r="AW18" s="327"/>
      <c r="AX18" s="69"/>
    </row>
    <row r="19" spans="2:50" ht="9.75" customHeight="1" thickTop="1">
      <c r="B19" s="68"/>
      <c r="C19" s="64"/>
      <c r="D19" s="65"/>
      <c r="E19" s="65"/>
      <c r="F19" s="65"/>
      <c r="G19" s="65"/>
      <c r="H19" s="65"/>
      <c r="I19" s="65"/>
      <c r="J19" s="65"/>
      <c r="K19" s="65"/>
      <c r="L19" s="65"/>
      <c r="M19" s="65"/>
      <c r="N19" s="65"/>
      <c r="O19" s="65"/>
      <c r="P19" s="66"/>
      <c r="Q19" s="64"/>
      <c r="R19" s="65"/>
      <c r="S19" s="65"/>
      <c r="T19" s="65"/>
      <c r="U19" s="65"/>
      <c r="V19" s="65"/>
      <c r="W19" s="65"/>
      <c r="X19" s="65"/>
      <c r="Y19" s="65"/>
      <c r="Z19" s="65"/>
      <c r="AA19" s="65"/>
      <c r="AB19" s="65"/>
      <c r="AC19" s="65"/>
      <c r="AD19" s="65"/>
      <c r="AE19" s="65"/>
      <c r="AF19" s="65"/>
      <c r="AG19" s="66"/>
      <c r="AH19" s="64"/>
      <c r="AI19" s="65"/>
      <c r="AJ19" s="65"/>
      <c r="AK19" s="65"/>
      <c r="AL19" s="65"/>
      <c r="AM19" s="65"/>
      <c r="AN19" s="65"/>
      <c r="AO19" s="65"/>
      <c r="AP19" s="65"/>
      <c r="AQ19" s="65"/>
      <c r="AR19" s="65"/>
      <c r="AS19" s="65"/>
      <c r="AT19" s="65"/>
      <c r="AU19" s="65"/>
      <c r="AV19" s="65"/>
      <c r="AW19" s="66"/>
      <c r="AX19" s="69"/>
    </row>
    <row r="20" spans="2:50" ht="9.75" customHeight="1">
      <c r="B20" s="68"/>
      <c r="C20" s="68"/>
      <c r="E20" s="315" t="s">
        <v>75</v>
      </c>
      <c r="F20" s="315"/>
      <c r="G20" s="315"/>
      <c r="H20" s="315"/>
      <c r="I20" s="315"/>
      <c r="J20" s="315"/>
      <c r="K20" s="315"/>
      <c r="L20" s="315"/>
      <c r="M20" s="315"/>
      <c r="N20" s="315"/>
      <c r="O20" s="315"/>
      <c r="P20" s="69"/>
      <c r="Q20" s="68"/>
      <c r="S20" s="315" t="s">
        <v>76</v>
      </c>
      <c r="T20" s="315"/>
      <c r="U20" s="315"/>
      <c r="V20" s="315"/>
      <c r="W20" s="315"/>
      <c r="X20" s="315"/>
      <c r="Y20" s="315"/>
      <c r="Z20" s="315"/>
      <c r="AA20" s="315"/>
      <c r="AB20" s="315"/>
      <c r="AC20" s="315"/>
      <c r="AG20" s="69"/>
      <c r="AH20" s="68"/>
      <c r="AI20" s="71"/>
      <c r="AJ20" s="315" t="s">
        <v>33</v>
      </c>
      <c r="AK20" s="315"/>
      <c r="AL20" s="315"/>
      <c r="AM20" s="315"/>
      <c r="AN20" s="315"/>
      <c r="AO20" s="315"/>
      <c r="AP20" s="315"/>
      <c r="AQ20" s="315"/>
      <c r="AR20" s="315"/>
      <c r="AS20" s="315"/>
      <c r="AT20" s="315"/>
      <c r="AU20" s="315"/>
      <c r="AV20" s="315"/>
      <c r="AW20" s="69"/>
      <c r="AX20" s="69"/>
    </row>
    <row r="21" spans="2:50" ht="9.75" customHeight="1">
      <c r="B21" s="68"/>
      <c r="C21" s="68"/>
      <c r="E21" s="315"/>
      <c r="F21" s="315"/>
      <c r="G21" s="315"/>
      <c r="H21" s="315"/>
      <c r="I21" s="315"/>
      <c r="J21" s="315"/>
      <c r="K21" s="315"/>
      <c r="L21" s="315"/>
      <c r="M21" s="315"/>
      <c r="N21" s="315"/>
      <c r="O21" s="315"/>
      <c r="P21" s="69"/>
      <c r="Q21" s="68"/>
      <c r="S21" s="315"/>
      <c r="T21" s="315"/>
      <c r="U21" s="315"/>
      <c r="V21" s="315"/>
      <c r="W21" s="315"/>
      <c r="X21" s="315"/>
      <c r="Y21" s="315"/>
      <c r="Z21" s="315"/>
      <c r="AA21" s="315"/>
      <c r="AB21" s="315"/>
      <c r="AC21" s="315"/>
      <c r="AG21" s="69"/>
      <c r="AH21" s="68"/>
      <c r="AI21" s="71"/>
      <c r="AJ21" s="315"/>
      <c r="AK21" s="315"/>
      <c r="AL21" s="315"/>
      <c r="AM21" s="315"/>
      <c r="AN21" s="315"/>
      <c r="AO21" s="315"/>
      <c r="AP21" s="315"/>
      <c r="AQ21" s="315"/>
      <c r="AR21" s="315"/>
      <c r="AS21" s="315"/>
      <c r="AT21" s="315"/>
      <c r="AU21" s="315"/>
      <c r="AV21" s="315"/>
      <c r="AW21" s="69"/>
      <c r="AX21" s="69"/>
    </row>
    <row r="22" spans="2:50" ht="9.75" customHeight="1">
      <c r="B22" s="68"/>
      <c r="C22" s="68"/>
      <c r="E22" s="315" t="s">
        <v>77</v>
      </c>
      <c r="F22" s="315"/>
      <c r="G22" s="315"/>
      <c r="H22" s="315"/>
      <c r="I22" s="315"/>
      <c r="J22" s="315"/>
      <c r="K22" s="315"/>
      <c r="L22" s="315"/>
      <c r="M22" s="315"/>
      <c r="N22" s="315"/>
      <c r="O22" s="315"/>
      <c r="P22" s="69"/>
      <c r="Q22" s="68"/>
      <c r="S22" s="315" t="s">
        <v>78</v>
      </c>
      <c r="T22" s="315"/>
      <c r="U22" s="315"/>
      <c r="V22" s="315"/>
      <c r="W22" s="315"/>
      <c r="X22" s="315"/>
      <c r="Y22" s="315"/>
      <c r="Z22" s="315"/>
      <c r="AA22" s="315"/>
      <c r="AB22" s="315"/>
      <c r="AC22" s="315"/>
      <c r="AG22" s="69"/>
      <c r="AH22" s="68"/>
      <c r="AI22" s="71"/>
      <c r="AJ22" s="315" t="s">
        <v>79</v>
      </c>
      <c r="AK22" s="315"/>
      <c r="AL22" s="315"/>
      <c r="AM22" s="315"/>
      <c r="AN22" s="315"/>
      <c r="AO22" s="315"/>
      <c r="AP22" s="315"/>
      <c r="AQ22" s="315"/>
      <c r="AR22" s="315"/>
      <c r="AS22" s="315"/>
      <c r="AT22" s="315"/>
      <c r="AU22" s="315"/>
      <c r="AV22" s="315"/>
      <c r="AW22" s="69"/>
      <c r="AX22" s="69"/>
    </row>
    <row r="23" spans="2:50" ht="9.75" customHeight="1">
      <c r="B23" s="68"/>
      <c r="C23" s="68"/>
      <c r="E23" s="315"/>
      <c r="F23" s="315"/>
      <c r="G23" s="315"/>
      <c r="H23" s="315"/>
      <c r="I23" s="315"/>
      <c r="J23" s="315"/>
      <c r="K23" s="315"/>
      <c r="L23" s="315"/>
      <c r="M23" s="315"/>
      <c r="N23" s="315"/>
      <c r="O23" s="315"/>
      <c r="P23" s="69"/>
      <c r="Q23" s="68"/>
      <c r="S23" s="315"/>
      <c r="T23" s="315"/>
      <c r="U23" s="315"/>
      <c r="V23" s="315"/>
      <c r="W23" s="315"/>
      <c r="X23" s="315"/>
      <c r="Y23" s="315"/>
      <c r="Z23" s="315"/>
      <c r="AA23" s="315"/>
      <c r="AB23" s="315"/>
      <c r="AC23" s="315"/>
      <c r="AG23" s="69"/>
      <c r="AH23" s="68"/>
      <c r="AI23" s="71"/>
      <c r="AJ23" s="315"/>
      <c r="AK23" s="315"/>
      <c r="AL23" s="315"/>
      <c r="AM23" s="315"/>
      <c r="AN23" s="315"/>
      <c r="AO23" s="315"/>
      <c r="AP23" s="315"/>
      <c r="AQ23" s="315"/>
      <c r="AR23" s="315"/>
      <c r="AS23" s="315"/>
      <c r="AT23" s="315"/>
      <c r="AU23" s="315"/>
      <c r="AV23" s="315"/>
      <c r="AW23" s="69"/>
      <c r="AX23" s="69"/>
    </row>
    <row r="24" spans="2:50" ht="9.75" customHeight="1">
      <c r="B24" s="68"/>
      <c r="C24" s="68"/>
      <c r="E24" s="315" t="s">
        <v>80</v>
      </c>
      <c r="F24" s="315"/>
      <c r="G24" s="315"/>
      <c r="H24" s="315"/>
      <c r="I24" s="315"/>
      <c r="J24" s="315"/>
      <c r="K24" s="315"/>
      <c r="L24" s="315"/>
      <c r="M24" s="315"/>
      <c r="N24" s="315"/>
      <c r="O24" s="315"/>
      <c r="P24" s="69"/>
      <c r="Q24" s="68"/>
      <c r="S24" s="315" t="s">
        <v>258</v>
      </c>
      <c r="T24" s="315"/>
      <c r="U24" s="315"/>
      <c r="V24" s="315"/>
      <c r="W24" s="315"/>
      <c r="X24" s="315"/>
      <c r="Y24" s="315"/>
      <c r="Z24" s="315"/>
      <c r="AA24" s="315"/>
      <c r="AB24" s="315"/>
      <c r="AC24" s="315"/>
      <c r="AG24" s="69"/>
      <c r="AH24" s="68"/>
      <c r="AI24" s="71"/>
      <c r="AJ24" s="315" t="s">
        <v>81</v>
      </c>
      <c r="AK24" s="315"/>
      <c r="AL24" s="315"/>
      <c r="AM24" s="315"/>
      <c r="AN24" s="315"/>
      <c r="AO24" s="315"/>
      <c r="AP24" s="315"/>
      <c r="AQ24" s="315"/>
      <c r="AR24" s="315"/>
      <c r="AS24" s="315"/>
      <c r="AT24" s="315"/>
      <c r="AU24" s="315"/>
      <c r="AV24" s="315"/>
      <c r="AW24" s="69"/>
      <c r="AX24" s="69"/>
    </row>
    <row r="25" spans="2:50" ht="9.75" customHeight="1">
      <c r="B25" s="68"/>
      <c r="C25" s="68"/>
      <c r="E25" s="315"/>
      <c r="F25" s="315"/>
      <c r="G25" s="315"/>
      <c r="H25" s="315"/>
      <c r="I25" s="315"/>
      <c r="J25" s="315"/>
      <c r="K25" s="315"/>
      <c r="L25" s="315"/>
      <c r="M25" s="315"/>
      <c r="N25" s="315"/>
      <c r="O25" s="315"/>
      <c r="P25" s="69"/>
      <c r="Q25" s="68"/>
      <c r="S25" s="315"/>
      <c r="T25" s="315"/>
      <c r="U25" s="315"/>
      <c r="V25" s="315"/>
      <c r="W25" s="315"/>
      <c r="X25" s="315"/>
      <c r="Y25" s="315"/>
      <c r="Z25" s="315"/>
      <c r="AA25" s="315"/>
      <c r="AB25" s="315"/>
      <c r="AC25" s="315"/>
      <c r="AG25" s="69"/>
      <c r="AH25" s="68"/>
      <c r="AI25" s="71"/>
      <c r="AJ25" s="315"/>
      <c r="AK25" s="315"/>
      <c r="AL25" s="315"/>
      <c r="AM25" s="315"/>
      <c r="AN25" s="315"/>
      <c r="AO25" s="315"/>
      <c r="AP25" s="315"/>
      <c r="AQ25" s="315"/>
      <c r="AR25" s="315"/>
      <c r="AS25" s="315"/>
      <c r="AT25" s="315"/>
      <c r="AU25" s="315"/>
      <c r="AV25" s="315"/>
      <c r="AW25" s="69"/>
      <c r="AX25" s="69"/>
    </row>
    <row r="26" spans="2:50" ht="9.75" customHeight="1">
      <c r="B26" s="68"/>
      <c r="C26" s="68"/>
      <c r="E26" s="315" t="s">
        <v>82</v>
      </c>
      <c r="F26" s="315"/>
      <c r="G26" s="315"/>
      <c r="H26" s="315"/>
      <c r="I26" s="315"/>
      <c r="J26" s="315"/>
      <c r="K26" s="315"/>
      <c r="L26" s="315"/>
      <c r="M26" s="315"/>
      <c r="N26" s="315"/>
      <c r="O26" s="315"/>
      <c r="P26" s="69"/>
      <c r="Q26" s="68"/>
      <c r="S26" s="315" t="s">
        <v>83</v>
      </c>
      <c r="T26" s="315"/>
      <c r="U26" s="315"/>
      <c r="V26" s="315"/>
      <c r="W26" s="315"/>
      <c r="X26" s="315"/>
      <c r="Y26" s="315"/>
      <c r="Z26" s="315"/>
      <c r="AA26" s="315"/>
      <c r="AB26" s="315"/>
      <c r="AC26" s="315"/>
      <c r="AG26" s="69"/>
      <c r="AH26" s="68"/>
      <c r="AI26" s="71"/>
      <c r="AJ26" s="315" t="s">
        <v>84</v>
      </c>
      <c r="AK26" s="315"/>
      <c r="AL26" s="315"/>
      <c r="AM26" s="315"/>
      <c r="AN26" s="315"/>
      <c r="AO26" s="315"/>
      <c r="AP26" s="315"/>
      <c r="AQ26" s="315"/>
      <c r="AR26" s="315"/>
      <c r="AS26" s="315"/>
      <c r="AT26" s="315"/>
      <c r="AU26" s="315"/>
      <c r="AV26" s="315"/>
      <c r="AW26" s="69"/>
      <c r="AX26" s="69"/>
    </row>
    <row r="27" spans="2:50" ht="9.75" customHeight="1">
      <c r="B27" s="68"/>
      <c r="C27" s="68"/>
      <c r="E27" s="315"/>
      <c r="F27" s="315"/>
      <c r="G27" s="315"/>
      <c r="H27" s="315"/>
      <c r="I27" s="315"/>
      <c r="J27" s="315"/>
      <c r="K27" s="315"/>
      <c r="L27" s="315"/>
      <c r="M27" s="315"/>
      <c r="N27" s="315"/>
      <c r="O27" s="315"/>
      <c r="P27" s="69"/>
      <c r="Q27" s="68"/>
      <c r="S27" s="315"/>
      <c r="T27" s="315"/>
      <c r="U27" s="315"/>
      <c r="V27" s="315"/>
      <c r="W27" s="315"/>
      <c r="X27" s="315"/>
      <c r="Y27" s="315"/>
      <c r="Z27" s="315"/>
      <c r="AA27" s="315"/>
      <c r="AB27" s="315"/>
      <c r="AC27" s="315"/>
      <c r="AG27" s="69"/>
      <c r="AH27" s="68"/>
      <c r="AI27" s="71"/>
      <c r="AJ27" s="315"/>
      <c r="AK27" s="315"/>
      <c r="AL27" s="315"/>
      <c r="AM27" s="315"/>
      <c r="AN27" s="315"/>
      <c r="AO27" s="315"/>
      <c r="AP27" s="315"/>
      <c r="AQ27" s="315"/>
      <c r="AR27" s="315"/>
      <c r="AS27" s="315"/>
      <c r="AT27" s="315"/>
      <c r="AU27" s="315"/>
      <c r="AV27" s="315"/>
      <c r="AW27" s="69"/>
      <c r="AX27" s="69"/>
    </row>
    <row r="28" spans="2:50" ht="9.75" customHeight="1">
      <c r="B28" s="68"/>
      <c r="C28" s="68"/>
      <c r="E28" s="71"/>
      <c r="F28" s="71"/>
      <c r="G28" s="71"/>
      <c r="H28" s="71"/>
      <c r="I28" s="71"/>
      <c r="J28" s="71"/>
      <c r="K28" s="71"/>
      <c r="L28" s="71"/>
      <c r="M28" s="71"/>
      <c r="N28" s="71"/>
      <c r="O28" s="71"/>
      <c r="P28" s="69"/>
      <c r="Q28" s="68"/>
      <c r="S28" s="330" t="s">
        <v>85</v>
      </c>
      <c r="T28" s="330"/>
      <c r="U28" s="330"/>
      <c r="V28" s="330"/>
      <c r="W28" s="330"/>
      <c r="X28" s="330"/>
      <c r="Y28" s="330"/>
      <c r="Z28" s="330"/>
      <c r="AA28" s="330"/>
      <c r="AB28" s="330"/>
      <c r="AC28" s="330"/>
      <c r="AD28" s="330"/>
      <c r="AE28" s="330"/>
      <c r="AF28" s="330"/>
      <c r="AG28" s="69"/>
      <c r="AH28" s="68"/>
      <c r="AI28" s="71"/>
      <c r="AJ28" s="315" t="s">
        <v>86</v>
      </c>
      <c r="AK28" s="315"/>
      <c r="AL28" s="315"/>
      <c r="AM28" s="315"/>
      <c r="AN28" s="315"/>
      <c r="AO28" s="315"/>
      <c r="AP28" s="315"/>
      <c r="AQ28" s="315"/>
      <c r="AR28" s="315"/>
      <c r="AS28" s="315"/>
      <c r="AT28" s="315"/>
      <c r="AU28" s="315"/>
      <c r="AV28" s="315"/>
      <c r="AW28" s="69"/>
      <c r="AX28" s="69"/>
    </row>
    <row r="29" spans="2:50" ht="9.75" customHeight="1">
      <c r="B29" s="68"/>
      <c r="C29" s="68"/>
      <c r="E29" s="71"/>
      <c r="F29" s="71"/>
      <c r="G29" s="71"/>
      <c r="H29" s="71"/>
      <c r="I29" s="71"/>
      <c r="J29" s="71"/>
      <c r="K29" s="71"/>
      <c r="L29" s="71"/>
      <c r="M29" s="71"/>
      <c r="N29" s="71"/>
      <c r="O29" s="71"/>
      <c r="P29" s="69"/>
      <c r="Q29" s="68"/>
      <c r="S29" s="330"/>
      <c r="T29" s="330"/>
      <c r="U29" s="330"/>
      <c r="V29" s="330"/>
      <c r="W29" s="330"/>
      <c r="X29" s="330"/>
      <c r="Y29" s="330"/>
      <c r="Z29" s="330"/>
      <c r="AA29" s="330"/>
      <c r="AB29" s="330"/>
      <c r="AC29" s="330"/>
      <c r="AD29" s="330"/>
      <c r="AE29" s="330"/>
      <c r="AF29" s="330"/>
      <c r="AG29" s="69"/>
      <c r="AH29" s="68"/>
      <c r="AI29" s="71"/>
      <c r="AJ29" s="315"/>
      <c r="AK29" s="315"/>
      <c r="AL29" s="315"/>
      <c r="AM29" s="315"/>
      <c r="AN29" s="315"/>
      <c r="AO29" s="315"/>
      <c r="AP29" s="315"/>
      <c r="AQ29" s="315"/>
      <c r="AR29" s="315"/>
      <c r="AS29" s="315"/>
      <c r="AT29" s="315"/>
      <c r="AU29" s="315"/>
      <c r="AV29" s="315"/>
      <c r="AW29" s="69"/>
      <c r="AX29" s="69"/>
    </row>
    <row r="30" spans="2:50" ht="9.75" customHeight="1">
      <c r="B30" s="68"/>
      <c r="C30" s="68"/>
      <c r="E30" s="71"/>
      <c r="F30" s="71"/>
      <c r="G30" s="71"/>
      <c r="H30" s="71"/>
      <c r="I30" s="71"/>
      <c r="J30" s="71"/>
      <c r="K30" s="71"/>
      <c r="L30" s="71"/>
      <c r="M30" s="71"/>
      <c r="N30" s="71"/>
      <c r="O30" s="71"/>
      <c r="P30" s="69"/>
      <c r="Q30" s="68"/>
      <c r="S30" s="331" t="s">
        <v>52</v>
      </c>
      <c r="T30" s="331"/>
      <c r="U30" s="331"/>
      <c r="V30" s="331"/>
      <c r="W30" s="331"/>
      <c r="X30" s="331"/>
      <c r="Y30" s="331"/>
      <c r="Z30" s="331"/>
      <c r="AA30" s="331"/>
      <c r="AB30" s="331"/>
      <c r="AC30" s="331"/>
      <c r="AD30" s="331"/>
      <c r="AE30" s="331"/>
      <c r="AF30" s="331"/>
      <c r="AG30" s="69"/>
      <c r="AH30" s="68"/>
      <c r="AI30" s="71"/>
      <c r="AJ30" s="315" t="s">
        <v>87</v>
      </c>
      <c r="AK30" s="315"/>
      <c r="AL30" s="315"/>
      <c r="AM30" s="315"/>
      <c r="AN30" s="315"/>
      <c r="AO30" s="315"/>
      <c r="AP30" s="315"/>
      <c r="AQ30" s="315"/>
      <c r="AR30" s="315"/>
      <c r="AS30" s="315"/>
      <c r="AT30" s="315"/>
      <c r="AU30" s="315"/>
      <c r="AV30" s="315"/>
      <c r="AW30" s="69"/>
      <c r="AX30" s="69"/>
    </row>
    <row r="31" spans="2:50" ht="9.75" customHeight="1">
      <c r="B31" s="68"/>
      <c r="C31" s="68"/>
      <c r="E31" s="71"/>
      <c r="F31" s="71"/>
      <c r="G31" s="71"/>
      <c r="H31" s="71"/>
      <c r="I31" s="71"/>
      <c r="J31" s="71"/>
      <c r="K31" s="71"/>
      <c r="L31" s="71"/>
      <c r="M31" s="71"/>
      <c r="N31" s="71"/>
      <c r="O31" s="71"/>
      <c r="P31" s="69"/>
      <c r="Q31" s="68"/>
      <c r="S31" s="331"/>
      <c r="T31" s="331"/>
      <c r="U31" s="331"/>
      <c r="V31" s="331"/>
      <c r="W31" s="331"/>
      <c r="X31" s="331"/>
      <c r="Y31" s="331"/>
      <c r="Z31" s="331"/>
      <c r="AA31" s="331"/>
      <c r="AB31" s="331"/>
      <c r="AC31" s="331"/>
      <c r="AD31" s="331"/>
      <c r="AE31" s="331"/>
      <c r="AF31" s="331"/>
      <c r="AG31" s="69"/>
      <c r="AH31" s="68"/>
      <c r="AI31" s="71"/>
      <c r="AJ31" s="315"/>
      <c r="AK31" s="315"/>
      <c r="AL31" s="315"/>
      <c r="AM31" s="315"/>
      <c r="AN31" s="315"/>
      <c r="AO31" s="315"/>
      <c r="AP31" s="315"/>
      <c r="AQ31" s="315"/>
      <c r="AR31" s="315"/>
      <c r="AS31" s="315"/>
      <c r="AT31" s="315"/>
      <c r="AU31" s="315"/>
      <c r="AV31" s="315"/>
      <c r="AW31" s="69"/>
      <c r="AX31" s="69"/>
    </row>
    <row r="32" spans="2:50" ht="9.75" customHeight="1">
      <c r="B32" s="68"/>
      <c r="C32" s="68"/>
      <c r="E32" s="71"/>
      <c r="F32" s="71"/>
      <c r="G32" s="71"/>
      <c r="H32" s="71"/>
      <c r="I32" s="71"/>
      <c r="J32" s="71"/>
      <c r="K32" s="71"/>
      <c r="L32" s="71"/>
      <c r="M32" s="71"/>
      <c r="N32" s="71"/>
      <c r="O32" s="71"/>
      <c r="P32" s="69"/>
      <c r="Q32" s="68"/>
      <c r="S32" s="331"/>
      <c r="T32" s="331"/>
      <c r="U32" s="331"/>
      <c r="V32" s="331"/>
      <c r="W32" s="331"/>
      <c r="X32" s="331"/>
      <c r="Y32" s="331"/>
      <c r="Z32" s="331"/>
      <c r="AA32" s="331"/>
      <c r="AB32" s="331"/>
      <c r="AC32" s="331"/>
      <c r="AD32" s="331"/>
      <c r="AE32" s="331"/>
      <c r="AF32" s="331"/>
      <c r="AG32" s="69"/>
      <c r="AH32" s="68"/>
      <c r="AI32" s="71"/>
      <c r="AJ32" s="315" t="s">
        <v>88</v>
      </c>
      <c r="AK32" s="315"/>
      <c r="AL32" s="315"/>
      <c r="AM32" s="315"/>
      <c r="AN32" s="315"/>
      <c r="AO32" s="315"/>
      <c r="AP32" s="315"/>
      <c r="AQ32" s="315"/>
      <c r="AR32" s="315"/>
      <c r="AS32" s="315"/>
      <c r="AT32" s="315"/>
      <c r="AU32" s="315"/>
      <c r="AV32" s="315"/>
      <c r="AW32" s="69"/>
      <c r="AX32" s="69"/>
    </row>
    <row r="33" spans="2:50" ht="9.75" customHeight="1">
      <c r="B33" s="68"/>
      <c r="C33" s="68"/>
      <c r="E33" s="71"/>
      <c r="F33" s="71"/>
      <c r="G33" s="71"/>
      <c r="H33" s="71"/>
      <c r="I33" s="71"/>
      <c r="J33" s="71"/>
      <c r="K33" s="71"/>
      <c r="L33" s="71"/>
      <c r="M33" s="71"/>
      <c r="N33" s="71"/>
      <c r="O33" s="71"/>
      <c r="P33" s="69"/>
      <c r="Q33" s="68"/>
      <c r="S33" s="331"/>
      <c r="T33" s="331"/>
      <c r="U33" s="331"/>
      <c r="V33" s="331"/>
      <c r="W33" s="331"/>
      <c r="X33" s="331"/>
      <c r="Y33" s="331"/>
      <c r="Z33" s="331"/>
      <c r="AA33" s="331"/>
      <c r="AB33" s="331"/>
      <c r="AC33" s="331"/>
      <c r="AD33" s="331"/>
      <c r="AE33" s="331"/>
      <c r="AF33" s="331"/>
      <c r="AG33" s="69"/>
      <c r="AH33" s="68"/>
      <c r="AI33" s="71"/>
      <c r="AJ33" s="315"/>
      <c r="AK33" s="315"/>
      <c r="AL33" s="315"/>
      <c r="AM33" s="315"/>
      <c r="AN33" s="315"/>
      <c r="AO33" s="315"/>
      <c r="AP33" s="315"/>
      <c r="AQ33" s="315"/>
      <c r="AR33" s="315"/>
      <c r="AS33" s="315"/>
      <c r="AT33" s="315"/>
      <c r="AU33" s="315"/>
      <c r="AV33" s="315"/>
      <c r="AW33" s="69"/>
      <c r="AX33" s="69"/>
    </row>
    <row r="34" spans="2:50" ht="9.75" customHeight="1">
      <c r="B34" s="68"/>
      <c r="C34" s="68"/>
      <c r="E34" s="71"/>
      <c r="F34" s="71"/>
      <c r="G34" s="71"/>
      <c r="H34" s="71"/>
      <c r="I34" s="71"/>
      <c r="J34" s="71"/>
      <c r="K34" s="71"/>
      <c r="L34" s="71"/>
      <c r="M34" s="71"/>
      <c r="N34" s="71"/>
      <c r="O34" s="71"/>
      <c r="P34" s="69"/>
      <c r="Q34" s="68"/>
      <c r="S34" s="331"/>
      <c r="T34" s="331"/>
      <c r="U34" s="331"/>
      <c r="V34" s="331"/>
      <c r="W34" s="331"/>
      <c r="X34" s="331"/>
      <c r="Y34" s="331"/>
      <c r="Z34" s="331"/>
      <c r="AA34" s="331"/>
      <c r="AB34" s="331"/>
      <c r="AC34" s="331"/>
      <c r="AD34" s="331"/>
      <c r="AE34" s="331"/>
      <c r="AF34" s="331"/>
      <c r="AG34" s="69"/>
      <c r="AH34" s="68"/>
      <c r="AI34" s="71"/>
      <c r="AJ34" s="315" t="s">
        <v>89</v>
      </c>
      <c r="AK34" s="315"/>
      <c r="AL34" s="315"/>
      <c r="AM34" s="315"/>
      <c r="AN34" s="315"/>
      <c r="AO34" s="315"/>
      <c r="AP34" s="315"/>
      <c r="AQ34" s="315"/>
      <c r="AR34" s="315"/>
      <c r="AS34" s="315"/>
      <c r="AT34" s="315"/>
      <c r="AU34" s="315"/>
      <c r="AV34" s="315"/>
      <c r="AW34" s="69"/>
      <c r="AX34" s="69"/>
    </row>
    <row r="35" spans="2:50" ht="9.75" customHeight="1">
      <c r="B35" s="68"/>
      <c r="C35" s="68"/>
      <c r="E35" s="71"/>
      <c r="F35" s="71"/>
      <c r="G35" s="71"/>
      <c r="H35" s="71"/>
      <c r="I35" s="71"/>
      <c r="J35" s="71"/>
      <c r="K35" s="71"/>
      <c r="L35" s="71"/>
      <c r="M35" s="71"/>
      <c r="N35" s="71"/>
      <c r="O35" s="71"/>
      <c r="P35" s="69"/>
      <c r="Q35" s="68"/>
      <c r="S35" s="331"/>
      <c r="T35" s="331"/>
      <c r="U35" s="331"/>
      <c r="V35" s="331"/>
      <c r="W35" s="331"/>
      <c r="X35" s="331"/>
      <c r="Y35" s="331"/>
      <c r="Z35" s="331"/>
      <c r="AA35" s="331"/>
      <c r="AB35" s="331"/>
      <c r="AC35" s="331"/>
      <c r="AD35" s="331"/>
      <c r="AE35" s="331"/>
      <c r="AF35" s="331"/>
      <c r="AG35" s="69"/>
      <c r="AH35" s="68"/>
      <c r="AI35" s="71"/>
      <c r="AJ35" s="315"/>
      <c r="AK35" s="315"/>
      <c r="AL35" s="315"/>
      <c r="AM35" s="315"/>
      <c r="AN35" s="315"/>
      <c r="AO35" s="315"/>
      <c r="AP35" s="315"/>
      <c r="AQ35" s="315"/>
      <c r="AR35" s="315"/>
      <c r="AS35" s="315"/>
      <c r="AT35" s="315"/>
      <c r="AU35" s="315"/>
      <c r="AV35" s="315"/>
      <c r="AW35" s="69"/>
      <c r="AX35" s="69"/>
    </row>
    <row r="36" spans="2:50" ht="9.75" customHeight="1">
      <c r="B36" s="68"/>
      <c r="C36" s="68"/>
      <c r="E36" s="72"/>
      <c r="F36" s="72"/>
      <c r="G36" s="72"/>
      <c r="H36" s="72"/>
      <c r="I36" s="72"/>
      <c r="J36" s="72"/>
      <c r="K36" s="72"/>
      <c r="L36" s="72"/>
      <c r="M36" s="72"/>
      <c r="N36" s="72"/>
      <c r="O36" s="72"/>
      <c r="P36" s="69"/>
      <c r="Q36" s="68"/>
      <c r="S36" s="315" t="s">
        <v>90</v>
      </c>
      <c r="T36" s="315"/>
      <c r="U36" s="315"/>
      <c r="V36" s="315"/>
      <c r="W36" s="315"/>
      <c r="X36" s="315"/>
      <c r="Y36" s="315"/>
      <c r="Z36" s="315"/>
      <c r="AA36" s="315"/>
      <c r="AB36" s="315"/>
      <c r="AC36" s="315"/>
      <c r="AD36" s="315"/>
      <c r="AE36" s="315"/>
      <c r="AF36" s="315"/>
      <c r="AG36" s="69"/>
      <c r="AH36" s="68"/>
      <c r="AI36" s="71"/>
      <c r="AJ36" s="315" t="s">
        <v>91</v>
      </c>
      <c r="AK36" s="315"/>
      <c r="AL36" s="315"/>
      <c r="AM36" s="315"/>
      <c r="AN36" s="315"/>
      <c r="AO36" s="315"/>
      <c r="AP36" s="315"/>
      <c r="AQ36" s="315"/>
      <c r="AR36" s="315"/>
      <c r="AS36" s="315"/>
      <c r="AT36" s="315"/>
      <c r="AU36" s="315"/>
      <c r="AV36" s="315"/>
      <c r="AW36" s="69"/>
      <c r="AX36" s="69"/>
    </row>
    <row r="37" spans="2:50" ht="9.75" customHeight="1">
      <c r="B37" s="68"/>
      <c r="C37" s="68"/>
      <c r="E37" s="72"/>
      <c r="F37" s="72"/>
      <c r="G37" s="72"/>
      <c r="H37" s="72"/>
      <c r="I37" s="72"/>
      <c r="J37" s="72"/>
      <c r="K37" s="72"/>
      <c r="L37" s="72"/>
      <c r="M37" s="72"/>
      <c r="N37" s="72"/>
      <c r="O37" s="72"/>
      <c r="P37" s="69"/>
      <c r="Q37" s="68"/>
      <c r="S37" s="315"/>
      <c r="T37" s="315"/>
      <c r="U37" s="315"/>
      <c r="V37" s="315"/>
      <c r="W37" s="315"/>
      <c r="X37" s="315"/>
      <c r="Y37" s="315"/>
      <c r="Z37" s="315"/>
      <c r="AA37" s="315"/>
      <c r="AB37" s="315"/>
      <c r="AC37" s="315"/>
      <c r="AD37" s="315"/>
      <c r="AE37" s="315"/>
      <c r="AF37" s="315"/>
      <c r="AG37" s="69"/>
      <c r="AH37" s="68"/>
      <c r="AI37" s="71"/>
      <c r="AJ37" s="315"/>
      <c r="AK37" s="315"/>
      <c r="AL37" s="315"/>
      <c r="AM37" s="315"/>
      <c r="AN37" s="315"/>
      <c r="AO37" s="315"/>
      <c r="AP37" s="315"/>
      <c r="AQ37" s="315"/>
      <c r="AR37" s="315"/>
      <c r="AS37" s="315"/>
      <c r="AT37" s="315"/>
      <c r="AU37" s="315"/>
      <c r="AV37" s="315"/>
      <c r="AW37" s="69"/>
      <c r="AX37" s="69"/>
    </row>
    <row r="38" spans="2:50" ht="9.75" customHeight="1">
      <c r="B38" s="68"/>
      <c r="C38" s="68"/>
      <c r="E38" s="72"/>
      <c r="F38" s="72"/>
      <c r="G38" s="72"/>
      <c r="H38" s="72"/>
      <c r="I38" s="72"/>
      <c r="J38" s="72"/>
      <c r="K38" s="72"/>
      <c r="L38" s="72"/>
      <c r="M38" s="72"/>
      <c r="N38" s="72"/>
      <c r="O38" s="72"/>
      <c r="P38" s="69"/>
      <c r="Q38" s="68"/>
      <c r="S38" s="70"/>
      <c r="T38" s="70"/>
      <c r="U38" s="70"/>
      <c r="V38" s="70"/>
      <c r="W38" s="70"/>
      <c r="X38" s="70"/>
      <c r="Y38" s="70"/>
      <c r="Z38" s="70"/>
      <c r="AA38" s="70"/>
      <c r="AB38" s="70"/>
      <c r="AC38" s="70"/>
      <c r="AD38" s="70"/>
      <c r="AE38" s="70"/>
      <c r="AF38" s="70"/>
      <c r="AG38" s="69"/>
      <c r="AH38" s="68"/>
      <c r="AI38" s="71"/>
      <c r="AJ38" s="315" t="s">
        <v>92</v>
      </c>
      <c r="AK38" s="315"/>
      <c r="AL38" s="315"/>
      <c r="AM38" s="315"/>
      <c r="AN38" s="315"/>
      <c r="AO38" s="315"/>
      <c r="AP38" s="315"/>
      <c r="AQ38" s="315"/>
      <c r="AR38" s="315"/>
      <c r="AS38" s="315"/>
      <c r="AT38" s="315"/>
      <c r="AU38" s="315"/>
      <c r="AV38" s="315"/>
      <c r="AW38" s="69"/>
      <c r="AX38" s="69"/>
    </row>
    <row r="39" spans="2:50" ht="9.75" customHeight="1">
      <c r="B39" s="68"/>
      <c r="C39" s="68"/>
      <c r="E39" s="72"/>
      <c r="F39" s="72"/>
      <c r="G39" s="72"/>
      <c r="H39" s="72"/>
      <c r="I39" s="72"/>
      <c r="J39" s="72"/>
      <c r="K39" s="72"/>
      <c r="L39" s="72"/>
      <c r="M39" s="72"/>
      <c r="N39" s="72"/>
      <c r="O39" s="72"/>
      <c r="P39" s="69"/>
      <c r="Q39" s="68"/>
      <c r="S39" s="70"/>
      <c r="T39" s="70"/>
      <c r="U39" s="70"/>
      <c r="V39" s="70"/>
      <c r="W39" s="70"/>
      <c r="X39" s="70"/>
      <c r="Y39" s="70"/>
      <c r="Z39" s="70"/>
      <c r="AA39" s="70"/>
      <c r="AB39" s="70"/>
      <c r="AC39" s="70"/>
      <c r="AD39" s="70"/>
      <c r="AE39" s="70"/>
      <c r="AF39" s="70"/>
      <c r="AG39" s="69"/>
      <c r="AH39" s="68"/>
      <c r="AI39" s="71"/>
      <c r="AJ39" s="315"/>
      <c r="AK39" s="315"/>
      <c r="AL39" s="315"/>
      <c r="AM39" s="315"/>
      <c r="AN39" s="315"/>
      <c r="AO39" s="315"/>
      <c r="AP39" s="315"/>
      <c r="AQ39" s="315"/>
      <c r="AR39" s="315"/>
      <c r="AS39" s="315"/>
      <c r="AT39" s="315"/>
      <c r="AU39" s="315"/>
      <c r="AV39" s="315"/>
      <c r="AW39" s="69"/>
      <c r="AX39" s="69"/>
    </row>
    <row r="40" spans="2:50" ht="9.75" customHeight="1" thickBot="1">
      <c r="B40" s="68"/>
      <c r="C40" s="77"/>
      <c r="D40" s="78"/>
      <c r="E40" s="78"/>
      <c r="F40" s="78"/>
      <c r="G40" s="78"/>
      <c r="H40" s="78"/>
      <c r="I40" s="78"/>
      <c r="J40" s="78"/>
      <c r="K40" s="78"/>
      <c r="L40" s="78"/>
      <c r="M40" s="78"/>
      <c r="N40" s="78"/>
      <c r="O40" s="78"/>
      <c r="P40" s="79"/>
      <c r="Q40" s="77"/>
      <c r="R40" s="78"/>
      <c r="S40" s="78"/>
      <c r="T40" s="78"/>
      <c r="U40" s="78"/>
      <c r="V40" s="78"/>
      <c r="W40" s="78"/>
      <c r="X40" s="78"/>
      <c r="Y40" s="78"/>
      <c r="Z40" s="78"/>
      <c r="AA40" s="78"/>
      <c r="AB40" s="78"/>
      <c r="AC40" s="78"/>
      <c r="AD40" s="78"/>
      <c r="AE40" s="78"/>
      <c r="AF40" s="78"/>
      <c r="AG40" s="79"/>
      <c r="AH40" s="77"/>
      <c r="AI40" s="78"/>
      <c r="AJ40" s="78"/>
      <c r="AK40" s="78"/>
      <c r="AL40" s="78"/>
      <c r="AM40" s="78"/>
      <c r="AN40" s="78"/>
      <c r="AO40" s="78"/>
      <c r="AP40" s="78"/>
      <c r="AQ40" s="78"/>
      <c r="AR40" s="78"/>
      <c r="AS40" s="78"/>
      <c r="AT40" s="78"/>
      <c r="AU40" s="78"/>
      <c r="AV40" s="78"/>
      <c r="AW40" s="79"/>
      <c r="AX40" s="69"/>
    </row>
    <row r="41" spans="2:50" ht="9.75" customHeight="1" thickTop="1">
      <c r="B41" s="68"/>
      <c r="AX41" s="69"/>
    </row>
    <row r="42" spans="2:50" ht="9.75" customHeight="1">
      <c r="B42" s="68"/>
      <c r="C42" s="315" t="s">
        <v>93</v>
      </c>
      <c r="D42" s="333"/>
      <c r="E42" s="333"/>
      <c r="F42" s="333"/>
      <c r="G42" s="333"/>
      <c r="H42" s="333"/>
      <c r="I42" s="333"/>
      <c r="J42" s="333"/>
      <c r="K42" s="333"/>
      <c r="L42" s="333"/>
      <c r="M42" s="71"/>
      <c r="N42" s="73"/>
      <c r="O42" s="73"/>
      <c r="P42" s="73"/>
      <c r="V42" s="315" t="s">
        <v>131</v>
      </c>
      <c r="W42" s="315"/>
      <c r="X42" s="315"/>
      <c r="Y42" s="315"/>
      <c r="Z42" s="315"/>
      <c r="AA42" s="315"/>
      <c r="AB42" s="315"/>
      <c r="AC42" s="315"/>
      <c r="AG42" s="71"/>
      <c r="AH42" s="71"/>
      <c r="AI42" s="71"/>
      <c r="AJ42" s="73"/>
      <c r="AX42" s="69"/>
    </row>
    <row r="43" spans="2:50" ht="9.75" customHeight="1">
      <c r="B43" s="68"/>
      <c r="C43" s="333"/>
      <c r="D43" s="333"/>
      <c r="E43" s="333"/>
      <c r="F43" s="333"/>
      <c r="G43" s="333"/>
      <c r="H43" s="333"/>
      <c r="I43" s="333"/>
      <c r="J43" s="333"/>
      <c r="K43" s="333"/>
      <c r="L43" s="333"/>
      <c r="M43" s="71"/>
      <c r="N43" s="73"/>
      <c r="O43" s="73"/>
      <c r="P43" s="73"/>
      <c r="V43" s="315"/>
      <c r="W43" s="315"/>
      <c r="X43" s="315"/>
      <c r="Y43" s="315"/>
      <c r="Z43" s="315"/>
      <c r="AA43" s="315"/>
      <c r="AB43" s="315"/>
      <c r="AC43" s="315"/>
      <c r="AG43" s="71"/>
      <c r="AH43" s="71"/>
      <c r="AI43" s="71"/>
      <c r="AJ43" s="73"/>
      <c r="AX43" s="69"/>
    </row>
    <row r="44" spans="2:50" ht="9.75" customHeight="1">
      <c r="B44" s="68"/>
      <c r="C44" s="333"/>
      <c r="D44" s="333"/>
      <c r="E44" s="333"/>
      <c r="F44" s="333"/>
      <c r="G44" s="333"/>
      <c r="H44" s="333"/>
      <c r="I44" s="333"/>
      <c r="J44" s="333"/>
      <c r="K44" s="333"/>
      <c r="L44" s="333"/>
      <c r="M44" s="74"/>
      <c r="N44" s="75"/>
      <c r="O44" s="75"/>
      <c r="P44" s="75"/>
      <c r="Q44" s="75"/>
      <c r="R44" s="75"/>
      <c r="S44" s="75"/>
      <c r="T44" s="75"/>
      <c r="U44" s="75"/>
      <c r="V44" s="315"/>
      <c r="W44" s="315"/>
      <c r="X44" s="315"/>
      <c r="Y44" s="315"/>
      <c r="Z44" s="315"/>
      <c r="AA44" s="315"/>
      <c r="AB44" s="315"/>
      <c r="AC44" s="315"/>
      <c r="AD44" s="75"/>
      <c r="AE44" s="75"/>
      <c r="AF44" s="75"/>
      <c r="AG44" s="74"/>
      <c r="AH44" s="74"/>
      <c r="AI44" s="74"/>
      <c r="AJ44" s="76"/>
      <c r="AK44" s="75"/>
      <c r="AL44" s="75"/>
      <c r="AM44" s="75"/>
      <c r="AN44" s="75"/>
      <c r="AO44" s="75"/>
      <c r="AP44" s="75"/>
      <c r="AQ44" s="75"/>
      <c r="AR44" s="75"/>
      <c r="AS44" s="75"/>
      <c r="AT44" s="75"/>
      <c r="AU44" s="75"/>
      <c r="AV44" s="75"/>
      <c r="AW44" s="75"/>
      <c r="AX44" s="69"/>
    </row>
    <row r="45" spans="2:50" ht="9.75" customHeight="1">
      <c r="B45" s="68"/>
      <c r="C45" s="73"/>
      <c r="D45" s="73"/>
      <c r="E45" s="73"/>
      <c r="F45" s="73"/>
      <c r="G45" s="73"/>
      <c r="H45" s="73"/>
      <c r="I45" s="73"/>
      <c r="J45" s="73"/>
      <c r="K45" s="73"/>
      <c r="L45" s="73"/>
      <c r="M45" s="73"/>
      <c r="N45" s="73"/>
      <c r="O45" s="73"/>
      <c r="P45" s="73"/>
      <c r="AC45" s="73"/>
      <c r="AD45" s="73"/>
      <c r="AE45" s="73"/>
      <c r="AF45" s="73"/>
      <c r="AG45" s="73"/>
      <c r="AH45" s="73"/>
      <c r="AI45" s="73"/>
      <c r="AJ45" s="73"/>
      <c r="AX45" s="69"/>
    </row>
    <row r="46" spans="2:50" ht="9.75" customHeight="1">
      <c r="B46" s="68"/>
      <c r="C46" s="318" t="s">
        <v>132</v>
      </c>
      <c r="D46" s="318"/>
      <c r="E46" s="318"/>
      <c r="F46" s="318"/>
      <c r="G46" s="318"/>
      <c r="H46" s="318"/>
      <c r="I46" s="318"/>
      <c r="J46" s="318"/>
      <c r="K46" s="318"/>
      <c r="L46" s="318"/>
      <c r="M46" s="71"/>
      <c r="N46" s="73"/>
      <c r="O46" s="73"/>
      <c r="P46" s="73"/>
      <c r="V46" s="315" t="s">
        <v>131</v>
      </c>
      <c r="W46" s="315"/>
      <c r="X46" s="315"/>
      <c r="Y46" s="315"/>
      <c r="Z46" s="315"/>
      <c r="AA46" s="315"/>
      <c r="AB46" s="315"/>
      <c r="AC46" s="315"/>
      <c r="AG46" s="71"/>
      <c r="AH46" s="71"/>
      <c r="AI46" s="71"/>
      <c r="AJ46" s="73"/>
      <c r="AX46" s="69"/>
    </row>
    <row r="47" spans="2:50" ht="9.75" customHeight="1">
      <c r="B47" s="68"/>
      <c r="C47" s="318"/>
      <c r="D47" s="318"/>
      <c r="E47" s="318"/>
      <c r="F47" s="318"/>
      <c r="G47" s="318"/>
      <c r="H47" s="318"/>
      <c r="I47" s="318"/>
      <c r="J47" s="318"/>
      <c r="K47" s="318"/>
      <c r="L47" s="318"/>
      <c r="M47" s="71"/>
      <c r="N47" s="73"/>
      <c r="O47" s="73"/>
      <c r="P47" s="73"/>
      <c r="V47" s="315"/>
      <c r="W47" s="315"/>
      <c r="X47" s="315"/>
      <c r="Y47" s="315"/>
      <c r="Z47" s="315"/>
      <c r="AA47" s="315"/>
      <c r="AB47" s="315"/>
      <c r="AC47" s="315"/>
      <c r="AG47" s="71"/>
      <c r="AH47" s="71"/>
      <c r="AI47" s="71"/>
      <c r="AJ47" s="73"/>
      <c r="AX47" s="69"/>
    </row>
    <row r="48" spans="2:50" ht="9.75" customHeight="1">
      <c r="B48" s="68"/>
      <c r="C48" s="318"/>
      <c r="D48" s="318"/>
      <c r="E48" s="318"/>
      <c r="F48" s="318"/>
      <c r="G48" s="318"/>
      <c r="H48" s="318"/>
      <c r="I48" s="318"/>
      <c r="J48" s="318"/>
      <c r="K48" s="318"/>
      <c r="L48" s="318"/>
      <c r="M48" s="74"/>
      <c r="N48" s="75"/>
      <c r="O48" s="75"/>
      <c r="P48" s="75"/>
      <c r="Q48" s="75"/>
      <c r="R48" s="75"/>
      <c r="S48" s="75"/>
      <c r="T48" s="75"/>
      <c r="U48" s="75"/>
      <c r="V48" s="315"/>
      <c r="W48" s="315"/>
      <c r="X48" s="315"/>
      <c r="Y48" s="315"/>
      <c r="Z48" s="315"/>
      <c r="AA48" s="315"/>
      <c r="AB48" s="315"/>
      <c r="AC48" s="315"/>
      <c r="AD48" s="75"/>
      <c r="AE48" s="75"/>
      <c r="AF48" s="75"/>
      <c r="AG48" s="74"/>
      <c r="AH48" s="74"/>
      <c r="AI48" s="74"/>
      <c r="AJ48" s="76"/>
      <c r="AK48" s="75"/>
      <c r="AL48" s="75"/>
      <c r="AM48" s="75"/>
      <c r="AN48" s="75"/>
      <c r="AO48" s="75"/>
      <c r="AP48" s="75"/>
      <c r="AQ48" s="75"/>
      <c r="AR48" s="75"/>
      <c r="AS48" s="75"/>
      <c r="AT48" s="75"/>
      <c r="AU48" s="75"/>
      <c r="AV48" s="75"/>
      <c r="AW48" s="75"/>
      <c r="AX48" s="69"/>
    </row>
    <row r="49" spans="2:50" ht="9.75" customHeight="1">
      <c r="B49" s="68"/>
      <c r="C49" s="323" t="s">
        <v>94</v>
      </c>
      <c r="D49" s="323"/>
      <c r="E49" s="323"/>
      <c r="F49" s="323"/>
      <c r="G49" s="323"/>
      <c r="H49" s="323"/>
      <c r="I49" s="323"/>
      <c r="J49" s="323"/>
      <c r="K49" s="323"/>
      <c r="L49" s="323"/>
      <c r="M49" s="323"/>
      <c r="N49" s="323"/>
      <c r="O49" s="323"/>
      <c r="P49" s="323"/>
      <c r="Q49" s="323"/>
      <c r="R49" s="323"/>
      <c r="S49" s="323"/>
      <c r="T49" s="323"/>
      <c r="U49" s="323"/>
      <c r="V49" s="323"/>
      <c r="W49" s="323"/>
      <c r="X49" s="323"/>
      <c r="Y49" s="323"/>
      <c r="AX49" s="69"/>
    </row>
    <row r="50" spans="2:50" ht="9.75" customHeight="1">
      <c r="B50" s="68"/>
      <c r="C50" s="323"/>
      <c r="D50" s="323"/>
      <c r="E50" s="323"/>
      <c r="F50" s="323"/>
      <c r="G50" s="323"/>
      <c r="H50" s="323"/>
      <c r="I50" s="323"/>
      <c r="J50" s="323"/>
      <c r="K50" s="323"/>
      <c r="L50" s="323"/>
      <c r="M50" s="323"/>
      <c r="N50" s="323"/>
      <c r="O50" s="323"/>
      <c r="P50" s="323"/>
      <c r="Q50" s="323"/>
      <c r="R50" s="323"/>
      <c r="S50" s="323"/>
      <c r="T50" s="323"/>
      <c r="U50" s="323"/>
      <c r="V50" s="323"/>
      <c r="W50" s="323"/>
      <c r="X50" s="323"/>
      <c r="Y50" s="323"/>
      <c r="AX50" s="69"/>
    </row>
    <row r="51" spans="2:50" ht="9.75" customHeight="1">
      <c r="B51" s="68"/>
      <c r="AX51" s="69"/>
    </row>
    <row r="52" spans="2:50" ht="9.75" customHeight="1">
      <c r="B52" s="68"/>
      <c r="C52" s="318" t="s">
        <v>133</v>
      </c>
      <c r="D52" s="318"/>
      <c r="E52" s="318"/>
      <c r="F52" s="318"/>
      <c r="G52" s="318"/>
      <c r="H52" s="318"/>
      <c r="I52" s="318"/>
      <c r="J52" s="318"/>
      <c r="K52" s="318"/>
      <c r="L52" s="318"/>
      <c r="M52" s="71"/>
      <c r="N52" s="71"/>
      <c r="O52" s="71"/>
      <c r="P52" s="71"/>
      <c r="Q52" s="71"/>
      <c r="R52" s="71"/>
      <c r="V52" s="323" t="s">
        <v>134</v>
      </c>
      <c r="W52" s="323"/>
      <c r="X52" s="323"/>
      <c r="Y52" s="323"/>
      <c r="Z52" s="323"/>
      <c r="AA52" s="323"/>
      <c r="AB52" s="323"/>
      <c r="AC52" s="323"/>
      <c r="AD52" s="323"/>
      <c r="AE52" s="323"/>
      <c r="AF52" s="323"/>
      <c r="AG52" s="323"/>
      <c r="AH52" s="323"/>
      <c r="AI52" s="323"/>
      <c r="AJ52" s="323"/>
      <c r="AK52" s="323"/>
      <c r="AL52" s="323"/>
      <c r="AM52" s="323"/>
      <c r="AN52" s="323"/>
      <c r="AO52" s="323"/>
      <c r="AP52" s="323"/>
      <c r="AQ52" s="323"/>
      <c r="AR52" s="323"/>
      <c r="AS52" s="323"/>
      <c r="AT52" s="323"/>
      <c r="AU52" s="323"/>
      <c r="AV52" s="323"/>
      <c r="AW52" s="323"/>
      <c r="AX52" s="69"/>
    </row>
    <row r="53" spans="2:50" ht="9.75" customHeight="1">
      <c r="B53" s="68"/>
      <c r="C53" s="318"/>
      <c r="D53" s="318"/>
      <c r="E53" s="318"/>
      <c r="F53" s="318"/>
      <c r="G53" s="318"/>
      <c r="H53" s="318"/>
      <c r="I53" s="318"/>
      <c r="J53" s="318"/>
      <c r="K53" s="318"/>
      <c r="L53" s="318"/>
      <c r="M53" s="71"/>
      <c r="N53" s="71"/>
      <c r="O53" s="71"/>
      <c r="P53" s="71"/>
      <c r="Q53" s="71"/>
      <c r="R53" s="71"/>
      <c r="V53" s="323"/>
      <c r="W53" s="323"/>
      <c r="X53" s="323"/>
      <c r="Y53" s="323"/>
      <c r="Z53" s="323"/>
      <c r="AA53" s="323"/>
      <c r="AB53" s="323"/>
      <c r="AC53" s="323"/>
      <c r="AD53" s="323"/>
      <c r="AE53" s="323"/>
      <c r="AF53" s="323"/>
      <c r="AG53" s="323"/>
      <c r="AH53" s="323"/>
      <c r="AI53" s="323"/>
      <c r="AJ53" s="323"/>
      <c r="AK53" s="323"/>
      <c r="AL53" s="323"/>
      <c r="AM53" s="323"/>
      <c r="AN53" s="323"/>
      <c r="AO53" s="323"/>
      <c r="AP53" s="323"/>
      <c r="AQ53" s="323"/>
      <c r="AR53" s="323"/>
      <c r="AS53" s="323"/>
      <c r="AT53" s="323"/>
      <c r="AU53" s="323"/>
      <c r="AV53" s="323"/>
      <c r="AW53" s="323"/>
      <c r="AX53" s="69"/>
    </row>
    <row r="54" spans="2:50" ht="9.75" customHeight="1">
      <c r="B54" s="68"/>
      <c r="C54" s="318"/>
      <c r="D54" s="318"/>
      <c r="E54" s="318"/>
      <c r="F54" s="318"/>
      <c r="G54" s="318"/>
      <c r="H54" s="318"/>
      <c r="I54" s="318"/>
      <c r="J54" s="318"/>
      <c r="K54" s="318"/>
      <c r="L54" s="318"/>
      <c r="M54" s="74"/>
      <c r="N54" s="74"/>
      <c r="O54" s="74"/>
      <c r="P54" s="74"/>
      <c r="Q54" s="74"/>
      <c r="R54" s="74"/>
      <c r="S54" s="75"/>
      <c r="T54" s="75"/>
      <c r="U54" s="75"/>
      <c r="V54" s="323"/>
      <c r="W54" s="323"/>
      <c r="X54" s="323"/>
      <c r="Y54" s="323"/>
      <c r="Z54" s="323"/>
      <c r="AA54" s="323"/>
      <c r="AB54" s="323"/>
      <c r="AC54" s="323"/>
      <c r="AD54" s="332"/>
      <c r="AE54" s="332"/>
      <c r="AF54" s="332"/>
      <c r="AG54" s="332"/>
      <c r="AH54" s="332"/>
      <c r="AI54" s="332"/>
      <c r="AJ54" s="332"/>
      <c r="AK54" s="332"/>
      <c r="AL54" s="332"/>
      <c r="AM54" s="332"/>
      <c r="AN54" s="332"/>
      <c r="AO54" s="332"/>
      <c r="AP54" s="332"/>
      <c r="AQ54" s="332"/>
      <c r="AR54" s="332"/>
      <c r="AS54" s="332"/>
      <c r="AT54" s="332"/>
      <c r="AU54" s="332"/>
      <c r="AV54" s="332"/>
      <c r="AW54" s="332"/>
      <c r="AX54" s="69"/>
    </row>
    <row r="55" spans="2:50" ht="9.75" customHeight="1">
      <c r="B55" s="68"/>
      <c r="C55" s="317" t="s">
        <v>95</v>
      </c>
      <c r="D55" s="317"/>
      <c r="E55" s="317"/>
      <c r="F55" s="317"/>
      <c r="G55" s="317"/>
      <c r="H55" s="317"/>
      <c r="I55" s="317"/>
      <c r="J55" s="317"/>
      <c r="K55" s="317"/>
      <c r="L55" s="317"/>
      <c r="M55" s="317"/>
      <c r="N55" s="317"/>
      <c r="O55" s="317"/>
      <c r="P55" s="317"/>
      <c r="Q55" s="317"/>
      <c r="R55" s="317"/>
      <c r="S55" s="317"/>
      <c r="T55" s="317"/>
      <c r="U55" s="317"/>
      <c r="V55" s="317"/>
      <c r="W55" s="317"/>
      <c r="X55" s="317"/>
      <c r="Y55" s="317"/>
      <c r="Z55" s="317"/>
      <c r="AA55" s="317"/>
      <c r="AB55" s="317"/>
      <c r="AC55" s="317"/>
      <c r="AD55" s="317"/>
      <c r="AE55" s="317"/>
      <c r="AF55" s="317"/>
      <c r="AG55" s="317"/>
      <c r="AH55" s="317"/>
      <c r="AI55" s="317"/>
      <c r="AJ55" s="317"/>
      <c r="AK55" s="317"/>
      <c r="AL55" s="317"/>
      <c r="AM55" s="317"/>
      <c r="AN55" s="317"/>
      <c r="AO55" s="317"/>
      <c r="AP55" s="317"/>
      <c r="AQ55" s="317"/>
      <c r="AR55" s="317"/>
      <c r="AS55" s="317"/>
      <c r="AT55" s="317"/>
      <c r="AU55" s="317"/>
      <c r="AV55" s="317"/>
      <c r="AW55" s="317"/>
      <c r="AX55" s="69"/>
    </row>
    <row r="56" spans="2:50" ht="9.75" customHeight="1">
      <c r="B56" s="68"/>
      <c r="C56" s="317"/>
      <c r="D56" s="317"/>
      <c r="E56" s="317"/>
      <c r="F56" s="317"/>
      <c r="G56" s="317"/>
      <c r="H56" s="317"/>
      <c r="I56" s="317"/>
      <c r="J56" s="317"/>
      <c r="K56" s="317"/>
      <c r="L56" s="317"/>
      <c r="M56" s="317"/>
      <c r="N56" s="317"/>
      <c r="O56" s="317"/>
      <c r="P56" s="317"/>
      <c r="Q56" s="317"/>
      <c r="R56" s="317"/>
      <c r="S56" s="317"/>
      <c r="T56" s="317"/>
      <c r="U56" s="317"/>
      <c r="V56" s="317"/>
      <c r="W56" s="317"/>
      <c r="X56" s="317"/>
      <c r="Y56" s="317"/>
      <c r="Z56" s="317"/>
      <c r="AA56" s="317"/>
      <c r="AB56" s="317"/>
      <c r="AC56" s="317"/>
      <c r="AD56" s="317"/>
      <c r="AE56" s="317"/>
      <c r="AF56" s="317"/>
      <c r="AG56" s="317"/>
      <c r="AH56" s="317"/>
      <c r="AI56" s="317"/>
      <c r="AJ56" s="317"/>
      <c r="AK56" s="317"/>
      <c r="AL56" s="317"/>
      <c r="AM56" s="317"/>
      <c r="AN56" s="317"/>
      <c r="AO56" s="317"/>
      <c r="AP56" s="317"/>
      <c r="AQ56" s="317"/>
      <c r="AR56" s="317"/>
      <c r="AS56" s="317"/>
      <c r="AT56" s="317"/>
      <c r="AU56" s="317"/>
      <c r="AV56" s="317"/>
      <c r="AW56" s="317"/>
      <c r="AX56" s="69"/>
    </row>
    <row r="57" spans="2:50" ht="9.75" customHeight="1">
      <c r="B57" s="68"/>
      <c r="C57" s="317"/>
      <c r="D57" s="317"/>
      <c r="E57" s="317"/>
      <c r="F57" s="317"/>
      <c r="G57" s="317"/>
      <c r="H57" s="317"/>
      <c r="I57" s="317"/>
      <c r="J57" s="317"/>
      <c r="K57" s="317"/>
      <c r="L57" s="317"/>
      <c r="M57" s="317"/>
      <c r="N57" s="317"/>
      <c r="O57" s="317"/>
      <c r="P57" s="317"/>
      <c r="Q57" s="317"/>
      <c r="R57" s="317"/>
      <c r="S57" s="317"/>
      <c r="T57" s="317"/>
      <c r="U57" s="317"/>
      <c r="V57" s="317"/>
      <c r="W57" s="317"/>
      <c r="X57" s="317"/>
      <c r="Y57" s="317"/>
      <c r="Z57" s="317"/>
      <c r="AA57" s="317"/>
      <c r="AB57" s="317"/>
      <c r="AC57" s="317"/>
      <c r="AD57" s="317"/>
      <c r="AE57" s="317"/>
      <c r="AF57" s="317"/>
      <c r="AG57" s="317"/>
      <c r="AH57" s="317"/>
      <c r="AI57" s="317"/>
      <c r="AJ57" s="317"/>
      <c r="AK57" s="317"/>
      <c r="AL57" s="317"/>
      <c r="AM57" s="317"/>
      <c r="AN57" s="317"/>
      <c r="AO57" s="317"/>
      <c r="AP57" s="317"/>
      <c r="AQ57" s="317"/>
      <c r="AR57" s="317"/>
      <c r="AS57" s="317"/>
      <c r="AT57" s="317"/>
      <c r="AU57" s="317"/>
      <c r="AV57" s="317"/>
      <c r="AW57" s="317"/>
      <c r="AX57" s="69"/>
    </row>
    <row r="58" spans="2:50" ht="9.75" customHeight="1">
      <c r="B58" s="68"/>
      <c r="C58" s="317"/>
      <c r="D58" s="317"/>
      <c r="E58" s="317"/>
      <c r="F58" s="317"/>
      <c r="G58" s="317"/>
      <c r="H58" s="317"/>
      <c r="I58" s="317"/>
      <c r="J58" s="317"/>
      <c r="K58" s="317"/>
      <c r="L58" s="317"/>
      <c r="M58" s="317"/>
      <c r="N58" s="317"/>
      <c r="O58" s="317"/>
      <c r="P58" s="317"/>
      <c r="Q58" s="317"/>
      <c r="R58" s="317"/>
      <c r="S58" s="317"/>
      <c r="T58" s="317"/>
      <c r="U58" s="317"/>
      <c r="V58" s="317"/>
      <c r="W58" s="317"/>
      <c r="X58" s="317"/>
      <c r="Y58" s="317"/>
      <c r="Z58" s="317"/>
      <c r="AA58" s="317"/>
      <c r="AB58" s="317"/>
      <c r="AC58" s="317"/>
      <c r="AD58" s="317"/>
      <c r="AE58" s="317"/>
      <c r="AF58" s="317"/>
      <c r="AG58" s="317"/>
      <c r="AH58" s="317"/>
      <c r="AI58" s="317"/>
      <c r="AJ58" s="317"/>
      <c r="AK58" s="317"/>
      <c r="AL58" s="317"/>
      <c r="AM58" s="317"/>
      <c r="AN58" s="317"/>
      <c r="AO58" s="317"/>
      <c r="AP58" s="317"/>
      <c r="AQ58" s="317"/>
      <c r="AR58" s="317"/>
      <c r="AS58" s="317"/>
      <c r="AT58" s="317"/>
      <c r="AU58" s="317"/>
      <c r="AV58" s="317"/>
      <c r="AW58" s="317"/>
      <c r="AX58" s="69"/>
    </row>
    <row r="59" spans="2:50" ht="9.75" customHeight="1">
      <c r="B59" s="68"/>
      <c r="C59" s="323" t="s">
        <v>96</v>
      </c>
      <c r="D59" s="323"/>
      <c r="E59" s="323"/>
      <c r="F59" s="323"/>
      <c r="G59" s="323"/>
      <c r="H59" s="323"/>
      <c r="I59" s="323"/>
      <c r="J59" s="323"/>
      <c r="K59" s="323"/>
      <c r="L59" s="323"/>
      <c r="M59" s="323"/>
      <c r="N59" s="323"/>
      <c r="O59" s="323"/>
      <c r="P59" s="323"/>
      <c r="Q59" s="323"/>
      <c r="R59" s="323"/>
      <c r="S59" s="323"/>
      <c r="T59" s="323"/>
      <c r="U59" s="323"/>
      <c r="V59" s="323"/>
      <c r="W59" s="323"/>
      <c r="X59" s="323"/>
      <c r="Y59" s="323"/>
      <c r="Z59" s="323"/>
      <c r="AA59" s="323"/>
      <c r="AB59" s="323"/>
      <c r="AC59" s="323"/>
      <c r="AD59" s="323"/>
      <c r="AE59" s="323"/>
      <c r="AF59" s="323"/>
      <c r="AG59" s="323"/>
      <c r="AH59" s="323"/>
      <c r="AI59" s="323"/>
      <c r="AJ59" s="323"/>
      <c r="AK59" s="323"/>
      <c r="AL59" s="323"/>
      <c r="AM59" s="323"/>
      <c r="AN59" s="323"/>
      <c r="AO59" s="323"/>
      <c r="AP59" s="323"/>
      <c r="AQ59" s="323"/>
      <c r="AR59" s="323"/>
      <c r="AS59" s="323"/>
      <c r="AT59" s="323"/>
      <c r="AU59" s="323"/>
      <c r="AV59" s="323"/>
      <c r="AW59" s="323"/>
      <c r="AX59" s="69"/>
    </row>
    <row r="60" spans="2:50" ht="9.75" customHeight="1">
      <c r="B60" s="68"/>
      <c r="C60" s="323"/>
      <c r="D60" s="323"/>
      <c r="E60" s="323"/>
      <c r="F60" s="323"/>
      <c r="G60" s="323"/>
      <c r="H60" s="323"/>
      <c r="I60" s="323"/>
      <c r="J60" s="323"/>
      <c r="K60" s="323"/>
      <c r="L60" s="323"/>
      <c r="M60" s="323"/>
      <c r="N60" s="323"/>
      <c r="O60" s="323"/>
      <c r="P60" s="323"/>
      <c r="Q60" s="323"/>
      <c r="R60" s="323"/>
      <c r="S60" s="323"/>
      <c r="T60" s="323"/>
      <c r="U60" s="323"/>
      <c r="V60" s="323"/>
      <c r="W60" s="323"/>
      <c r="X60" s="323"/>
      <c r="Y60" s="323"/>
      <c r="Z60" s="323"/>
      <c r="AA60" s="323"/>
      <c r="AB60" s="323"/>
      <c r="AC60" s="323"/>
      <c r="AD60" s="323"/>
      <c r="AE60" s="323"/>
      <c r="AF60" s="323"/>
      <c r="AG60" s="323"/>
      <c r="AH60" s="323"/>
      <c r="AI60" s="323"/>
      <c r="AJ60" s="323"/>
      <c r="AK60" s="323"/>
      <c r="AL60" s="323"/>
      <c r="AM60" s="323"/>
      <c r="AN60" s="323"/>
      <c r="AO60" s="323"/>
      <c r="AP60" s="323"/>
      <c r="AQ60" s="323"/>
      <c r="AR60" s="323"/>
      <c r="AS60" s="323"/>
      <c r="AT60" s="323"/>
      <c r="AU60" s="323"/>
      <c r="AV60" s="323"/>
      <c r="AW60" s="323"/>
      <c r="AX60" s="69"/>
    </row>
    <row r="61" spans="2:50" ht="9.75" customHeight="1">
      <c r="B61" s="68"/>
      <c r="C61" s="323"/>
      <c r="D61" s="323"/>
      <c r="E61" s="323"/>
      <c r="F61" s="323"/>
      <c r="G61" s="323"/>
      <c r="H61" s="323"/>
      <c r="I61" s="323"/>
      <c r="J61" s="323"/>
      <c r="K61" s="323"/>
      <c r="L61" s="323"/>
      <c r="M61" s="323"/>
      <c r="N61" s="323"/>
      <c r="O61" s="323"/>
      <c r="P61" s="323"/>
      <c r="Q61" s="323"/>
      <c r="R61" s="323"/>
      <c r="S61" s="323"/>
      <c r="T61" s="323"/>
      <c r="U61" s="323"/>
      <c r="V61" s="323"/>
      <c r="W61" s="323"/>
      <c r="X61" s="323"/>
      <c r="Y61" s="323"/>
      <c r="Z61" s="323"/>
      <c r="AA61" s="323"/>
      <c r="AB61" s="323"/>
      <c r="AC61" s="323"/>
      <c r="AD61" s="323"/>
      <c r="AE61" s="323"/>
      <c r="AF61" s="323"/>
      <c r="AG61" s="323"/>
      <c r="AH61" s="323"/>
      <c r="AI61" s="323"/>
      <c r="AJ61" s="323"/>
      <c r="AK61" s="323"/>
      <c r="AL61" s="323"/>
      <c r="AM61" s="323"/>
      <c r="AN61" s="323"/>
      <c r="AO61" s="323"/>
      <c r="AP61" s="323"/>
      <c r="AQ61" s="323"/>
      <c r="AR61" s="323"/>
      <c r="AS61" s="323"/>
      <c r="AT61" s="323"/>
      <c r="AU61" s="323"/>
      <c r="AV61" s="323"/>
      <c r="AW61" s="323"/>
      <c r="AX61" s="69"/>
    </row>
    <row r="62" spans="2:50" ht="9.75" customHeight="1">
      <c r="B62" s="68"/>
      <c r="C62" s="316" t="s">
        <v>97</v>
      </c>
      <c r="D62" s="316"/>
      <c r="E62" s="316"/>
      <c r="F62" s="316"/>
      <c r="G62" s="316"/>
      <c r="H62" s="316"/>
      <c r="I62" s="316"/>
      <c r="J62" s="316"/>
      <c r="K62" s="316"/>
      <c r="L62" s="316"/>
      <c r="M62" s="316"/>
      <c r="N62" s="316"/>
      <c r="O62" s="316"/>
      <c r="P62" s="316"/>
      <c r="Q62" s="316" t="s">
        <v>98</v>
      </c>
      <c r="R62" s="316"/>
      <c r="S62" s="316"/>
      <c r="T62" s="316"/>
      <c r="U62" s="316"/>
      <c r="V62" s="316"/>
      <c r="W62" s="316"/>
      <c r="X62" s="316"/>
      <c r="Y62" s="316"/>
      <c r="Z62" s="316"/>
      <c r="AA62" s="316"/>
      <c r="AB62" s="316"/>
      <c r="AC62" s="316"/>
      <c r="AD62" s="316"/>
      <c r="AE62" s="316"/>
      <c r="AF62" s="316"/>
      <c r="AG62" s="316"/>
      <c r="AH62" s="316" t="s">
        <v>99</v>
      </c>
      <c r="AI62" s="316"/>
      <c r="AJ62" s="316"/>
      <c r="AK62" s="316"/>
      <c r="AL62" s="316"/>
      <c r="AM62" s="316"/>
      <c r="AN62" s="316"/>
      <c r="AO62" s="316"/>
      <c r="AP62" s="316"/>
      <c r="AQ62" s="316"/>
      <c r="AR62" s="316"/>
      <c r="AS62" s="316"/>
      <c r="AT62" s="316"/>
      <c r="AU62" s="316"/>
      <c r="AV62" s="316"/>
      <c r="AW62" s="316"/>
      <c r="AX62" s="69"/>
    </row>
    <row r="63" spans="2:50" ht="9.75" customHeight="1">
      <c r="B63" s="68"/>
      <c r="C63" s="316"/>
      <c r="D63" s="316"/>
      <c r="E63" s="316"/>
      <c r="F63" s="316"/>
      <c r="G63" s="316"/>
      <c r="H63" s="316"/>
      <c r="I63" s="316"/>
      <c r="J63" s="316"/>
      <c r="K63" s="316"/>
      <c r="L63" s="316"/>
      <c r="M63" s="316"/>
      <c r="N63" s="316"/>
      <c r="O63" s="316"/>
      <c r="P63" s="316"/>
      <c r="Q63" s="316"/>
      <c r="R63" s="316"/>
      <c r="S63" s="316"/>
      <c r="T63" s="316"/>
      <c r="U63" s="316"/>
      <c r="V63" s="316"/>
      <c r="W63" s="316"/>
      <c r="X63" s="316"/>
      <c r="Y63" s="316"/>
      <c r="Z63" s="316"/>
      <c r="AA63" s="316"/>
      <c r="AB63" s="316"/>
      <c r="AC63" s="316"/>
      <c r="AD63" s="316"/>
      <c r="AE63" s="316"/>
      <c r="AF63" s="316"/>
      <c r="AG63" s="316"/>
      <c r="AH63" s="316"/>
      <c r="AI63" s="316"/>
      <c r="AJ63" s="316"/>
      <c r="AK63" s="316"/>
      <c r="AL63" s="316"/>
      <c r="AM63" s="316"/>
      <c r="AN63" s="316"/>
      <c r="AO63" s="316"/>
      <c r="AP63" s="316"/>
      <c r="AQ63" s="316"/>
      <c r="AR63" s="316"/>
      <c r="AS63" s="316"/>
      <c r="AT63" s="316"/>
      <c r="AU63" s="316"/>
      <c r="AV63" s="316"/>
      <c r="AW63" s="316"/>
      <c r="AX63" s="69"/>
    </row>
    <row r="64" spans="2:50" ht="9.75" customHeight="1">
      <c r="B64" s="68"/>
      <c r="C64" s="316"/>
      <c r="D64" s="316"/>
      <c r="E64" s="316"/>
      <c r="F64" s="316"/>
      <c r="G64" s="316"/>
      <c r="H64" s="316"/>
      <c r="I64" s="316"/>
      <c r="J64" s="316"/>
      <c r="K64" s="316"/>
      <c r="L64" s="316"/>
      <c r="M64" s="316"/>
      <c r="N64" s="316"/>
      <c r="O64" s="316"/>
      <c r="P64" s="316"/>
      <c r="Q64" s="316"/>
      <c r="R64" s="316"/>
      <c r="S64" s="316"/>
      <c r="T64" s="316"/>
      <c r="U64" s="316"/>
      <c r="V64" s="316"/>
      <c r="W64" s="316"/>
      <c r="X64" s="316"/>
      <c r="Y64" s="316"/>
      <c r="Z64" s="316"/>
      <c r="AA64" s="316"/>
      <c r="AB64" s="316"/>
      <c r="AC64" s="316"/>
      <c r="AD64" s="316"/>
      <c r="AE64" s="316"/>
      <c r="AF64" s="316"/>
      <c r="AG64" s="316"/>
      <c r="AH64" s="316"/>
      <c r="AI64" s="316"/>
      <c r="AJ64" s="316"/>
      <c r="AK64" s="316"/>
      <c r="AL64" s="316"/>
      <c r="AM64" s="316"/>
      <c r="AN64" s="316"/>
      <c r="AO64" s="316"/>
      <c r="AP64" s="316"/>
      <c r="AQ64" s="316"/>
      <c r="AR64" s="316"/>
      <c r="AS64" s="316"/>
      <c r="AT64" s="316"/>
      <c r="AU64" s="316"/>
      <c r="AV64" s="316"/>
      <c r="AW64" s="316"/>
      <c r="AX64" s="69"/>
    </row>
    <row r="65" spans="2:50" ht="9.75" customHeight="1">
      <c r="B65" s="68"/>
      <c r="C65" s="316"/>
      <c r="D65" s="316"/>
      <c r="E65" s="316"/>
      <c r="F65" s="316"/>
      <c r="G65" s="316"/>
      <c r="H65" s="316"/>
      <c r="I65" s="316"/>
      <c r="J65" s="316"/>
      <c r="K65" s="316"/>
      <c r="L65" s="316"/>
      <c r="M65" s="316"/>
      <c r="N65" s="316"/>
      <c r="O65" s="316"/>
      <c r="P65" s="316"/>
      <c r="Q65" s="316"/>
      <c r="R65" s="316"/>
      <c r="S65" s="316"/>
      <c r="T65" s="316"/>
      <c r="U65" s="316"/>
      <c r="V65" s="316"/>
      <c r="W65" s="316"/>
      <c r="X65" s="316"/>
      <c r="Y65" s="316"/>
      <c r="Z65" s="316"/>
      <c r="AA65" s="316"/>
      <c r="AB65" s="316"/>
      <c r="AC65" s="316"/>
      <c r="AD65" s="316"/>
      <c r="AE65" s="316"/>
      <c r="AF65" s="316"/>
      <c r="AG65" s="316"/>
      <c r="AH65" s="316"/>
      <c r="AI65" s="316"/>
      <c r="AJ65" s="316"/>
      <c r="AK65" s="316"/>
      <c r="AL65" s="316"/>
      <c r="AM65" s="316"/>
      <c r="AN65" s="316"/>
      <c r="AO65" s="316"/>
      <c r="AP65" s="316"/>
      <c r="AQ65" s="316"/>
      <c r="AR65" s="316"/>
      <c r="AS65" s="316"/>
      <c r="AT65" s="316"/>
      <c r="AU65" s="316"/>
      <c r="AV65" s="316"/>
      <c r="AW65" s="316"/>
      <c r="AX65" s="69"/>
    </row>
    <row r="66" spans="2:50" ht="9.75" customHeight="1">
      <c r="B66" s="68"/>
      <c r="C66" s="316"/>
      <c r="D66" s="316"/>
      <c r="E66" s="316"/>
      <c r="F66" s="316"/>
      <c r="G66" s="316"/>
      <c r="H66" s="316"/>
      <c r="I66" s="316"/>
      <c r="J66" s="316"/>
      <c r="K66" s="316"/>
      <c r="L66" s="316"/>
      <c r="M66" s="316"/>
      <c r="N66" s="316"/>
      <c r="O66" s="316"/>
      <c r="P66" s="316"/>
      <c r="Q66" s="316"/>
      <c r="R66" s="316"/>
      <c r="S66" s="316"/>
      <c r="T66" s="316"/>
      <c r="U66" s="316"/>
      <c r="V66" s="316"/>
      <c r="W66" s="316"/>
      <c r="X66" s="316"/>
      <c r="Y66" s="316"/>
      <c r="Z66" s="316"/>
      <c r="AA66" s="316"/>
      <c r="AB66" s="316"/>
      <c r="AC66" s="316"/>
      <c r="AD66" s="316"/>
      <c r="AE66" s="316"/>
      <c r="AF66" s="316"/>
      <c r="AG66" s="316"/>
      <c r="AH66" s="316"/>
      <c r="AI66" s="316"/>
      <c r="AJ66" s="316"/>
      <c r="AK66" s="316"/>
      <c r="AL66" s="316"/>
      <c r="AM66" s="316"/>
      <c r="AN66" s="316"/>
      <c r="AO66" s="316"/>
      <c r="AP66" s="316"/>
      <c r="AQ66" s="316"/>
      <c r="AR66" s="316"/>
      <c r="AS66" s="316"/>
      <c r="AT66" s="316"/>
      <c r="AU66" s="316"/>
      <c r="AV66" s="316"/>
      <c r="AW66" s="316"/>
      <c r="AX66" s="69"/>
    </row>
    <row r="67" spans="2:50" ht="9.75" customHeight="1">
      <c r="B67" s="68"/>
      <c r="C67" s="316"/>
      <c r="D67" s="316"/>
      <c r="E67" s="316"/>
      <c r="F67" s="316"/>
      <c r="G67" s="316"/>
      <c r="H67" s="316"/>
      <c r="I67" s="316"/>
      <c r="J67" s="316"/>
      <c r="K67" s="316"/>
      <c r="L67" s="316"/>
      <c r="M67" s="316"/>
      <c r="N67" s="316"/>
      <c r="O67" s="316"/>
      <c r="P67" s="316"/>
      <c r="Q67" s="316"/>
      <c r="R67" s="316"/>
      <c r="S67" s="316"/>
      <c r="T67" s="316"/>
      <c r="U67" s="316"/>
      <c r="V67" s="316"/>
      <c r="W67" s="316"/>
      <c r="X67" s="316"/>
      <c r="Y67" s="316"/>
      <c r="Z67" s="316"/>
      <c r="AA67" s="316"/>
      <c r="AB67" s="316"/>
      <c r="AC67" s="316"/>
      <c r="AD67" s="316"/>
      <c r="AE67" s="316"/>
      <c r="AF67" s="316"/>
      <c r="AG67" s="316"/>
      <c r="AH67" s="316"/>
      <c r="AI67" s="316"/>
      <c r="AJ67" s="316"/>
      <c r="AK67" s="316"/>
      <c r="AL67" s="316"/>
      <c r="AM67" s="316"/>
      <c r="AN67" s="316"/>
      <c r="AO67" s="316"/>
      <c r="AP67" s="316"/>
      <c r="AQ67" s="316"/>
      <c r="AR67" s="316"/>
      <c r="AS67" s="316"/>
      <c r="AT67" s="316"/>
      <c r="AU67" s="316"/>
      <c r="AV67" s="316"/>
      <c r="AW67" s="316"/>
      <c r="AX67" s="69"/>
    </row>
    <row r="68" spans="2:50" ht="9.75" customHeight="1">
      <c r="B68" s="68"/>
      <c r="C68" s="316"/>
      <c r="D68" s="316"/>
      <c r="E68" s="316"/>
      <c r="F68" s="316"/>
      <c r="G68" s="316"/>
      <c r="H68" s="316"/>
      <c r="I68" s="316"/>
      <c r="J68" s="316"/>
      <c r="K68" s="316"/>
      <c r="L68" s="316"/>
      <c r="M68" s="316"/>
      <c r="N68" s="316"/>
      <c r="O68" s="316"/>
      <c r="P68" s="316"/>
      <c r="Q68" s="316"/>
      <c r="R68" s="316"/>
      <c r="S68" s="316"/>
      <c r="T68" s="316"/>
      <c r="U68" s="316"/>
      <c r="V68" s="316"/>
      <c r="W68" s="316"/>
      <c r="X68" s="316"/>
      <c r="Y68" s="316"/>
      <c r="Z68" s="316"/>
      <c r="AA68" s="316"/>
      <c r="AB68" s="316"/>
      <c r="AC68" s="316"/>
      <c r="AD68" s="316"/>
      <c r="AE68" s="316"/>
      <c r="AF68" s="316"/>
      <c r="AG68" s="316"/>
      <c r="AH68" s="316"/>
      <c r="AI68" s="316"/>
      <c r="AJ68" s="316"/>
      <c r="AK68" s="316"/>
      <c r="AL68" s="316"/>
      <c r="AM68" s="316"/>
      <c r="AN68" s="316"/>
      <c r="AO68" s="316"/>
      <c r="AP68" s="316"/>
      <c r="AQ68" s="316"/>
      <c r="AR68" s="316"/>
      <c r="AS68" s="316"/>
      <c r="AT68" s="316"/>
      <c r="AU68" s="316"/>
      <c r="AV68" s="316"/>
      <c r="AW68" s="316"/>
      <c r="AX68" s="69"/>
    </row>
    <row r="69" spans="2:50" ht="9.75" customHeight="1">
      <c r="B69" s="68"/>
      <c r="C69" s="316"/>
      <c r="D69" s="316"/>
      <c r="E69" s="316"/>
      <c r="F69" s="316"/>
      <c r="G69" s="316"/>
      <c r="H69" s="316"/>
      <c r="I69" s="316"/>
      <c r="J69" s="316"/>
      <c r="K69" s="316"/>
      <c r="L69" s="316"/>
      <c r="M69" s="316"/>
      <c r="N69" s="316"/>
      <c r="O69" s="316"/>
      <c r="P69" s="316"/>
      <c r="Q69" s="316"/>
      <c r="R69" s="316"/>
      <c r="S69" s="316"/>
      <c r="T69" s="316"/>
      <c r="U69" s="316"/>
      <c r="V69" s="316"/>
      <c r="W69" s="316"/>
      <c r="X69" s="316"/>
      <c r="Y69" s="316"/>
      <c r="Z69" s="316"/>
      <c r="AA69" s="316"/>
      <c r="AB69" s="316"/>
      <c r="AC69" s="316"/>
      <c r="AD69" s="316"/>
      <c r="AE69" s="316"/>
      <c r="AF69" s="316"/>
      <c r="AG69" s="316"/>
      <c r="AH69" s="316"/>
      <c r="AI69" s="316"/>
      <c r="AJ69" s="316"/>
      <c r="AK69" s="316"/>
      <c r="AL69" s="316"/>
      <c r="AM69" s="316"/>
      <c r="AN69" s="316"/>
      <c r="AO69" s="316"/>
      <c r="AP69" s="316"/>
      <c r="AQ69" s="316"/>
      <c r="AR69" s="316"/>
      <c r="AS69" s="316"/>
      <c r="AT69" s="316"/>
      <c r="AU69" s="316"/>
      <c r="AV69" s="316"/>
      <c r="AW69" s="316"/>
      <c r="AX69" s="69"/>
    </row>
    <row r="70" spans="2:50" ht="9.75" customHeight="1">
      <c r="B70" s="68"/>
      <c r="C70" s="316"/>
      <c r="D70" s="316"/>
      <c r="E70" s="316"/>
      <c r="F70" s="316"/>
      <c r="G70" s="316"/>
      <c r="H70" s="316"/>
      <c r="I70" s="316"/>
      <c r="J70" s="316"/>
      <c r="K70" s="316"/>
      <c r="L70" s="316"/>
      <c r="M70" s="316"/>
      <c r="N70" s="316"/>
      <c r="O70" s="316"/>
      <c r="P70" s="316"/>
      <c r="Q70" s="316"/>
      <c r="R70" s="316"/>
      <c r="S70" s="316"/>
      <c r="T70" s="316"/>
      <c r="U70" s="316"/>
      <c r="V70" s="316"/>
      <c r="W70" s="316"/>
      <c r="X70" s="316"/>
      <c r="Y70" s="316"/>
      <c r="Z70" s="316"/>
      <c r="AA70" s="316"/>
      <c r="AB70" s="316"/>
      <c r="AC70" s="316"/>
      <c r="AD70" s="316"/>
      <c r="AE70" s="316"/>
      <c r="AF70" s="316"/>
      <c r="AG70" s="316"/>
      <c r="AH70" s="316"/>
      <c r="AI70" s="316"/>
      <c r="AJ70" s="316"/>
      <c r="AK70" s="316"/>
      <c r="AL70" s="316"/>
      <c r="AM70" s="316"/>
      <c r="AN70" s="316"/>
      <c r="AO70" s="316"/>
      <c r="AP70" s="316"/>
      <c r="AQ70" s="316"/>
      <c r="AR70" s="316"/>
      <c r="AS70" s="316"/>
      <c r="AT70" s="316"/>
      <c r="AU70" s="316"/>
      <c r="AV70" s="316"/>
      <c r="AW70" s="316"/>
      <c r="AX70" s="69"/>
    </row>
    <row r="71" spans="2:50" ht="9.75" customHeight="1">
      <c r="B71" s="68"/>
      <c r="C71" s="316"/>
      <c r="D71" s="316"/>
      <c r="E71" s="316"/>
      <c r="F71" s="316"/>
      <c r="G71" s="316"/>
      <c r="H71" s="316"/>
      <c r="I71" s="316"/>
      <c r="J71" s="316"/>
      <c r="K71" s="316"/>
      <c r="L71" s="316"/>
      <c r="M71" s="316"/>
      <c r="N71" s="316"/>
      <c r="O71" s="316"/>
      <c r="P71" s="316"/>
      <c r="Q71" s="316"/>
      <c r="R71" s="316"/>
      <c r="S71" s="316"/>
      <c r="T71" s="316"/>
      <c r="U71" s="316"/>
      <c r="V71" s="316"/>
      <c r="W71" s="316"/>
      <c r="X71" s="316"/>
      <c r="Y71" s="316"/>
      <c r="Z71" s="316"/>
      <c r="AA71" s="316"/>
      <c r="AB71" s="316"/>
      <c r="AC71" s="316"/>
      <c r="AD71" s="316"/>
      <c r="AE71" s="316"/>
      <c r="AF71" s="316"/>
      <c r="AG71" s="316"/>
      <c r="AH71" s="316"/>
      <c r="AI71" s="316"/>
      <c r="AJ71" s="316"/>
      <c r="AK71" s="316"/>
      <c r="AL71" s="316"/>
      <c r="AM71" s="316"/>
      <c r="AN71" s="316"/>
      <c r="AO71" s="316"/>
      <c r="AP71" s="316"/>
      <c r="AQ71" s="316"/>
      <c r="AR71" s="316"/>
      <c r="AS71" s="316"/>
      <c r="AT71" s="316"/>
      <c r="AU71" s="316"/>
      <c r="AV71" s="316"/>
      <c r="AW71" s="316"/>
      <c r="AX71" s="69"/>
    </row>
    <row r="72" spans="2:50" ht="9.75" customHeight="1">
      <c r="B72" s="68"/>
      <c r="C72" s="316"/>
      <c r="D72" s="316"/>
      <c r="E72" s="316"/>
      <c r="F72" s="316"/>
      <c r="G72" s="316"/>
      <c r="H72" s="316"/>
      <c r="I72" s="316"/>
      <c r="J72" s="316"/>
      <c r="K72" s="316"/>
      <c r="L72" s="316"/>
      <c r="M72" s="316"/>
      <c r="N72" s="316"/>
      <c r="O72" s="316"/>
      <c r="P72" s="316"/>
      <c r="Q72" s="316"/>
      <c r="R72" s="316"/>
      <c r="S72" s="316"/>
      <c r="T72" s="316"/>
      <c r="U72" s="316"/>
      <c r="V72" s="316"/>
      <c r="W72" s="316"/>
      <c r="X72" s="316"/>
      <c r="Y72" s="316"/>
      <c r="Z72" s="316"/>
      <c r="AA72" s="316"/>
      <c r="AB72" s="316"/>
      <c r="AC72" s="316"/>
      <c r="AD72" s="316"/>
      <c r="AE72" s="316"/>
      <c r="AF72" s="316"/>
      <c r="AG72" s="316"/>
      <c r="AH72" s="316"/>
      <c r="AI72" s="316"/>
      <c r="AJ72" s="316"/>
      <c r="AK72" s="316"/>
      <c r="AL72" s="316"/>
      <c r="AM72" s="316"/>
      <c r="AN72" s="316"/>
      <c r="AO72" s="316"/>
      <c r="AP72" s="316"/>
      <c r="AQ72" s="316"/>
      <c r="AR72" s="316"/>
      <c r="AS72" s="316"/>
      <c r="AT72" s="316"/>
      <c r="AU72" s="316"/>
      <c r="AV72" s="316"/>
      <c r="AW72" s="316"/>
      <c r="AX72" s="69"/>
    </row>
    <row r="73" spans="2:50" ht="9.75" customHeight="1">
      <c r="B73" s="68"/>
      <c r="C73" s="316"/>
      <c r="D73" s="316"/>
      <c r="E73" s="316"/>
      <c r="F73" s="316"/>
      <c r="G73" s="316"/>
      <c r="H73" s="316"/>
      <c r="I73" s="316"/>
      <c r="J73" s="316"/>
      <c r="K73" s="316"/>
      <c r="L73" s="316"/>
      <c r="M73" s="316"/>
      <c r="N73" s="316"/>
      <c r="O73" s="316"/>
      <c r="P73" s="316"/>
      <c r="Q73" s="316"/>
      <c r="R73" s="316"/>
      <c r="S73" s="316"/>
      <c r="T73" s="316"/>
      <c r="U73" s="316"/>
      <c r="V73" s="316"/>
      <c r="W73" s="316"/>
      <c r="X73" s="316"/>
      <c r="Y73" s="316"/>
      <c r="Z73" s="316"/>
      <c r="AA73" s="316"/>
      <c r="AB73" s="316"/>
      <c r="AC73" s="316"/>
      <c r="AD73" s="316"/>
      <c r="AE73" s="316"/>
      <c r="AF73" s="316"/>
      <c r="AG73" s="316"/>
      <c r="AH73" s="316"/>
      <c r="AI73" s="316"/>
      <c r="AJ73" s="316"/>
      <c r="AK73" s="316"/>
      <c r="AL73" s="316"/>
      <c r="AM73" s="316"/>
      <c r="AN73" s="316"/>
      <c r="AO73" s="316"/>
      <c r="AP73" s="316"/>
      <c r="AQ73" s="316"/>
      <c r="AR73" s="316"/>
      <c r="AS73" s="316"/>
      <c r="AT73" s="316"/>
      <c r="AU73" s="316"/>
      <c r="AV73" s="316"/>
      <c r="AW73" s="316"/>
      <c r="AX73" s="69"/>
    </row>
    <row r="74" spans="2:50" ht="9.75" customHeight="1" thickBot="1">
      <c r="B74" s="77"/>
      <c r="C74" s="78"/>
      <c r="D74" s="78"/>
      <c r="E74" s="78"/>
      <c r="F74" s="78"/>
      <c r="G74" s="78"/>
      <c r="H74" s="78"/>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9"/>
    </row>
    <row r="75" spans="2:50" ht="9.75" customHeight="1" thickTop="1"/>
  </sheetData>
  <mergeCells count="60">
    <mergeCell ref="C66:P67"/>
    <mergeCell ref="C68:P69"/>
    <mergeCell ref="C70:P71"/>
    <mergeCell ref="C72:P73"/>
    <mergeCell ref="V42:AC44"/>
    <mergeCell ref="C42:L44"/>
    <mergeCell ref="Q66:AG67"/>
    <mergeCell ref="Q68:AG69"/>
    <mergeCell ref="C64:P65"/>
    <mergeCell ref="Q64:AG65"/>
    <mergeCell ref="AH64:AW65"/>
    <mergeCell ref="C62:P63"/>
    <mergeCell ref="V46:AC48"/>
    <mergeCell ref="C52:L54"/>
    <mergeCell ref="AD52:AW54"/>
    <mergeCell ref="E20:O21"/>
    <mergeCell ref="Q62:AG63"/>
    <mergeCell ref="E22:O23"/>
    <mergeCell ref="E24:O25"/>
    <mergeCell ref="E26:O27"/>
    <mergeCell ref="C59:AW61"/>
    <mergeCell ref="S30:AF35"/>
    <mergeCell ref="S36:AF37"/>
    <mergeCell ref="V52:AC54"/>
    <mergeCell ref="AH62:AW63"/>
    <mergeCell ref="C7:M8"/>
    <mergeCell ref="C9:M10"/>
    <mergeCell ref="C11:M12"/>
    <mergeCell ref="C13:AW14"/>
    <mergeCell ref="N11:AW12"/>
    <mergeCell ref="N7:AW8"/>
    <mergeCell ref="N9:U10"/>
    <mergeCell ref="AJ28:AV29"/>
    <mergeCell ref="AJ30:AV31"/>
    <mergeCell ref="C49:Y50"/>
    <mergeCell ref="AJ38:AV39"/>
    <mergeCell ref="S28:AF29"/>
    <mergeCell ref="S22:AC23"/>
    <mergeCell ref="V9:AJ10"/>
    <mergeCell ref="AK9:AT10"/>
    <mergeCell ref="C55:AW58"/>
    <mergeCell ref="AJ32:AV33"/>
    <mergeCell ref="AJ34:AV35"/>
    <mergeCell ref="AJ36:AV37"/>
    <mergeCell ref="C46:L48"/>
    <mergeCell ref="C16:P18"/>
    <mergeCell ref="Q16:AW18"/>
    <mergeCell ref="AJ20:AV21"/>
    <mergeCell ref="AJ22:AV23"/>
    <mergeCell ref="S20:AC21"/>
    <mergeCell ref="AJ26:AV27"/>
    <mergeCell ref="S26:AC27"/>
    <mergeCell ref="AJ24:AV25"/>
    <mergeCell ref="S24:AC25"/>
    <mergeCell ref="Q70:AG71"/>
    <mergeCell ref="Q72:AG73"/>
    <mergeCell ref="AH66:AW67"/>
    <mergeCell ref="AH68:AW69"/>
    <mergeCell ref="AH70:AW71"/>
    <mergeCell ref="AH72:AW73"/>
  </mergeCells>
  <phoneticPr fontId="2" type="noConversion"/>
  <pageMargins left="0.94488188976377963" right="0.35433070866141736" top="0.78740157480314965" bottom="0.78740157480314965" header="0.51181102362204722" footer="0.51181102362204722"/>
  <pageSetup paperSize="9"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1:AY77"/>
  <sheetViews>
    <sheetView zoomScale="75" workbookViewId="0">
      <selection activeCell="AI22" sqref="AI22:AO37"/>
    </sheetView>
  </sheetViews>
  <sheetFormatPr defaultColWidth="1.625" defaultRowHeight="9.75" customHeight="1"/>
  <cols>
    <col min="1" max="16384" width="1.625" style="67"/>
  </cols>
  <sheetData>
    <row r="1" spans="2:51" ht="9.75" customHeight="1" thickBot="1"/>
    <row r="2" spans="2:51" ht="9.75" customHeight="1" thickTop="1">
      <c r="B2" s="64"/>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6"/>
    </row>
    <row r="3" spans="2:51" ht="9.75" customHeight="1">
      <c r="B3" s="68"/>
      <c r="AX3" s="69"/>
    </row>
    <row r="4" spans="2:51" ht="9.75" customHeight="1">
      <c r="B4" s="68"/>
      <c r="AX4" s="69"/>
    </row>
    <row r="5" spans="2:51" ht="9.75" customHeight="1">
      <c r="B5" s="68"/>
      <c r="AX5" s="69"/>
    </row>
    <row r="6" spans="2:51" ht="9.75" customHeight="1">
      <c r="B6" s="68"/>
      <c r="AX6" s="69"/>
    </row>
    <row r="7" spans="2:51" ht="9.75" customHeight="1">
      <c r="B7" s="68"/>
      <c r="AX7" s="69"/>
    </row>
    <row r="8" spans="2:51" ht="9.75" customHeight="1">
      <c r="B8" s="68"/>
      <c r="H8" s="380" t="s">
        <v>64</v>
      </c>
      <c r="I8" s="380"/>
      <c r="J8" s="380"/>
      <c r="K8" s="380"/>
      <c r="L8" s="380"/>
      <c r="M8" s="380"/>
      <c r="N8" s="380"/>
      <c r="O8" s="380"/>
      <c r="P8" s="380"/>
      <c r="Q8" s="380"/>
      <c r="R8" s="380"/>
      <c r="S8" s="380"/>
      <c r="AX8" s="69"/>
    </row>
    <row r="9" spans="2:51" ht="9.75" customHeight="1">
      <c r="B9" s="68"/>
      <c r="F9" s="82"/>
      <c r="H9" s="380"/>
      <c r="I9" s="380"/>
      <c r="J9" s="380"/>
      <c r="K9" s="380"/>
      <c r="L9" s="380"/>
      <c r="M9" s="380"/>
      <c r="N9" s="380"/>
      <c r="O9" s="380"/>
      <c r="P9" s="380"/>
      <c r="Q9" s="380"/>
      <c r="R9" s="380"/>
      <c r="S9" s="380"/>
      <c r="AX9" s="69"/>
    </row>
    <row r="10" spans="2:51" ht="9.75" customHeight="1">
      <c r="B10" s="68"/>
      <c r="F10" s="82"/>
      <c r="H10" s="380"/>
      <c r="I10" s="380"/>
      <c r="J10" s="380"/>
      <c r="K10" s="380"/>
      <c r="L10" s="380"/>
      <c r="M10" s="380"/>
      <c r="N10" s="380"/>
      <c r="O10" s="380"/>
      <c r="P10" s="380"/>
      <c r="Q10" s="380"/>
      <c r="R10" s="380"/>
      <c r="S10" s="380"/>
      <c r="AX10" s="69"/>
    </row>
    <row r="11" spans="2:51" ht="9.75" customHeight="1">
      <c r="B11" s="68"/>
      <c r="E11" s="82"/>
      <c r="F11" s="82"/>
      <c r="H11" s="380"/>
      <c r="I11" s="380"/>
      <c r="J11" s="380"/>
      <c r="K11" s="380"/>
      <c r="L11" s="380"/>
      <c r="M11" s="380"/>
      <c r="N11" s="380"/>
      <c r="O11" s="380"/>
      <c r="P11" s="380"/>
      <c r="Q11" s="380"/>
      <c r="R11" s="380"/>
      <c r="S11" s="380"/>
      <c r="AX11" s="69"/>
    </row>
    <row r="12" spans="2:51" ht="9.75" customHeight="1">
      <c r="B12" s="68"/>
      <c r="E12" s="83"/>
      <c r="F12" s="83"/>
      <c r="AX12" s="69"/>
    </row>
    <row r="13" spans="2:51" ht="9.75" customHeight="1" thickBot="1">
      <c r="B13" s="68"/>
      <c r="F13" s="84"/>
      <c r="H13" s="83"/>
      <c r="I13" s="83"/>
      <c r="J13" s="83"/>
      <c r="K13" s="83"/>
      <c r="L13" s="83"/>
      <c r="M13" s="83"/>
      <c r="N13" s="83"/>
      <c r="O13" s="83"/>
      <c r="P13" s="71"/>
      <c r="Q13" s="71"/>
      <c r="AS13" s="84"/>
      <c r="AT13" s="71"/>
      <c r="AU13" s="71"/>
      <c r="AV13" s="71"/>
      <c r="AW13" s="71"/>
      <c r="AX13" s="87"/>
      <c r="AY13" s="71"/>
    </row>
    <row r="14" spans="2:51" ht="9.75" customHeight="1" thickTop="1">
      <c r="B14" s="68"/>
      <c r="E14" s="84"/>
      <c r="F14" s="84"/>
      <c r="H14" s="336" t="s">
        <v>281</v>
      </c>
      <c r="I14" s="336"/>
      <c r="J14" s="336"/>
      <c r="K14" s="336"/>
      <c r="L14" s="336"/>
      <c r="M14" s="336"/>
      <c r="N14" s="347" t="str">
        <f>'秘書-input'!B4</f>
        <v xml:space="preserve">台北市萬華區      </v>
      </c>
      <c r="O14" s="348"/>
      <c r="P14" s="348"/>
      <c r="Q14" s="348"/>
      <c r="R14" s="348"/>
      <c r="S14" s="348"/>
      <c r="T14" s="348"/>
      <c r="U14" s="348"/>
      <c r="V14" s="348" t="str">
        <f>'秘書-input'!C4</f>
        <v>成都路</v>
      </c>
      <c r="W14" s="348"/>
      <c r="X14" s="348"/>
      <c r="Y14" s="348"/>
      <c r="Z14" s="348"/>
      <c r="AA14" s="348"/>
      <c r="AB14" s="348"/>
      <c r="AC14" s="348"/>
      <c r="AD14" s="348"/>
      <c r="AE14" s="348"/>
      <c r="AF14" s="348"/>
      <c r="AG14" s="348"/>
      <c r="AH14" s="348"/>
      <c r="AI14" s="348"/>
      <c r="AJ14" s="348"/>
      <c r="AK14" s="348"/>
      <c r="AL14" s="348" t="str">
        <f>'秘書-input'!D4</f>
        <v>92號</v>
      </c>
      <c r="AM14" s="348"/>
      <c r="AN14" s="348"/>
      <c r="AO14" s="348"/>
      <c r="AP14" s="348"/>
      <c r="AQ14" s="348"/>
      <c r="AR14" s="353"/>
      <c r="AS14" s="84"/>
      <c r="AT14" s="71"/>
      <c r="AU14" s="71"/>
      <c r="AV14" s="71"/>
      <c r="AW14" s="71"/>
      <c r="AX14" s="87"/>
      <c r="AY14" s="71"/>
    </row>
    <row r="15" spans="2:51" ht="9.75" customHeight="1">
      <c r="B15" s="68"/>
      <c r="E15" s="84"/>
      <c r="F15" s="84"/>
      <c r="H15" s="337"/>
      <c r="I15" s="337"/>
      <c r="J15" s="337"/>
      <c r="K15" s="337"/>
      <c r="L15" s="337"/>
      <c r="M15" s="337"/>
      <c r="N15" s="349"/>
      <c r="O15" s="350"/>
      <c r="P15" s="350"/>
      <c r="Q15" s="350"/>
      <c r="R15" s="350"/>
      <c r="S15" s="350"/>
      <c r="T15" s="350"/>
      <c r="U15" s="350"/>
      <c r="V15" s="350"/>
      <c r="W15" s="350"/>
      <c r="X15" s="350"/>
      <c r="Y15" s="350"/>
      <c r="Z15" s="350"/>
      <c r="AA15" s="350"/>
      <c r="AB15" s="350"/>
      <c r="AC15" s="350"/>
      <c r="AD15" s="350"/>
      <c r="AE15" s="350"/>
      <c r="AF15" s="350"/>
      <c r="AG15" s="350"/>
      <c r="AH15" s="350"/>
      <c r="AI15" s="350"/>
      <c r="AJ15" s="350"/>
      <c r="AK15" s="350"/>
      <c r="AL15" s="350"/>
      <c r="AM15" s="350"/>
      <c r="AN15" s="350"/>
      <c r="AO15" s="350"/>
      <c r="AP15" s="350"/>
      <c r="AQ15" s="350"/>
      <c r="AR15" s="354"/>
      <c r="AS15" s="84"/>
      <c r="AT15" s="70"/>
      <c r="AU15" s="70"/>
      <c r="AV15" s="70"/>
      <c r="AW15" s="70"/>
      <c r="AX15" s="88"/>
      <c r="AY15" s="70"/>
    </row>
    <row r="16" spans="2:51" ht="9.75" customHeight="1">
      <c r="B16" s="68"/>
      <c r="E16" s="84"/>
      <c r="F16" s="84"/>
      <c r="H16" s="337"/>
      <c r="I16" s="337"/>
      <c r="J16" s="337"/>
      <c r="K16" s="337"/>
      <c r="L16" s="337"/>
      <c r="M16" s="337"/>
      <c r="N16" s="349"/>
      <c r="O16" s="350"/>
      <c r="P16" s="350"/>
      <c r="Q16" s="350"/>
      <c r="R16" s="350"/>
      <c r="S16" s="350"/>
      <c r="T16" s="350"/>
      <c r="U16" s="350"/>
      <c r="V16" s="350"/>
      <c r="W16" s="350"/>
      <c r="X16" s="350"/>
      <c r="Y16" s="350"/>
      <c r="Z16" s="350"/>
      <c r="AA16" s="350"/>
      <c r="AB16" s="350"/>
      <c r="AC16" s="350"/>
      <c r="AD16" s="350"/>
      <c r="AE16" s="350"/>
      <c r="AF16" s="350"/>
      <c r="AG16" s="350"/>
      <c r="AH16" s="350"/>
      <c r="AI16" s="350"/>
      <c r="AJ16" s="350"/>
      <c r="AK16" s="350"/>
      <c r="AL16" s="350"/>
      <c r="AM16" s="350"/>
      <c r="AN16" s="350"/>
      <c r="AO16" s="350"/>
      <c r="AP16" s="350"/>
      <c r="AQ16" s="350"/>
      <c r="AR16" s="354"/>
      <c r="AS16" s="84"/>
      <c r="AT16" s="70"/>
      <c r="AU16" s="70"/>
      <c r="AV16" s="70"/>
      <c r="AW16" s="70"/>
      <c r="AX16" s="88"/>
      <c r="AY16" s="70"/>
    </row>
    <row r="17" spans="2:51" ht="9.75" customHeight="1" thickBot="1">
      <c r="B17" s="68"/>
      <c r="E17" s="84"/>
      <c r="F17" s="84"/>
      <c r="H17" s="338"/>
      <c r="I17" s="338"/>
      <c r="J17" s="338"/>
      <c r="K17" s="338"/>
      <c r="L17" s="338"/>
      <c r="M17" s="338"/>
      <c r="N17" s="351"/>
      <c r="O17" s="352"/>
      <c r="P17" s="352"/>
      <c r="Q17" s="352"/>
      <c r="R17" s="352"/>
      <c r="S17" s="352"/>
      <c r="T17" s="352"/>
      <c r="U17" s="352"/>
      <c r="V17" s="352"/>
      <c r="W17" s="352"/>
      <c r="X17" s="352"/>
      <c r="Y17" s="352"/>
      <c r="Z17" s="352"/>
      <c r="AA17" s="352"/>
      <c r="AB17" s="352"/>
      <c r="AC17" s="352"/>
      <c r="AD17" s="352"/>
      <c r="AE17" s="352"/>
      <c r="AF17" s="352"/>
      <c r="AG17" s="352"/>
      <c r="AH17" s="352"/>
      <c r="AI17" s="352"/>
      <c r="AJ17" s="352"/>
      <c r="AK17" s="352"/>
      <c r="AL17" s="352"/>
      <c r="AM17" s="352"/>
      <c r="AN17" s="352"/>
      <c r="AO17" s="352"/>
      <c r="AP17" s="352"/>
      <c r="AQ17" s="352"/>
      <c r="AR17" s="355"/>
      <c r="AS17" s="84"/>
      <c r="AT17" s="70"/>
      <c r="AU17" s="70"/>
      <c r="AV17" s="70"/>
      <c r="AW17" s="70"/>
      <c r="AX17" s="88"/>
      <c r="AY17" s="70"/>
    </row>
    <row r="18" spans="2:51" ht="9.75" customHeight="1" thickTop="1">
      <c r="B18" s="68"/>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X18" s="69"/>
    </row>
    <row r="19" spans="2:51" ht="9.75" customHeight="1" thickBot="1">
      <c r="B19" s="68"/>
      <c r="AX19" s="69"/>
    </row>
    <row r="20" spans="2:51" ht="9.75" customHeight="1" thickTop="1" thickBot="1">
      <c r="B20" s="68"/>
      <c r="H20" s="381" t="s">
        <v>0</v>
      </c>
      <c r="I20" s="381"/>
      <c r="J20" s="381"/>
      <c r="K20" s="381"/>
      <c r="L20" s="381"/>
      <c r="M20" s="381"/>
      <c r="N20" s="386" t="s">
        <v>74</v>
      </c>
      <c r="O20" s="387"/>
      <c r="P20" s="387"/>
      <c r="Q20" s="387"/>
      <c r="R20" s="387"/>
      <c r="S20" s="382" t="str">
        <f>'秘書-input'!C38</f>
        <v>漢中段一小段257.258建號</v>
      </c>
      <c r="T20" s="382"/>
      <c r="U20" s="382"/>
      <c r="V20" s="382"/>
      <c r="W20" s="382"/>
      <c r="X20" s="382"/>
      <c r="Y20" s="382"/>
      <c r="Z20" s="382"/>
      <c r="AA20" s="382"/>
      <c r="AB20" s="382"/>
      <c r="AC20" s="382"/>
      <c r="AD20" s="382"/>
      <c r="AE20" s="382"/>
      <c r="AF20" s="382"/>
      <c r="AG20" s="382"/>
      <c r="AH20" s="382"/>
      <c r="AI20" s="382"/>
      <c r="AJ20" s="382"/>
      <c r="AK20" s="382"/>
      <c r="AL20" s="382"/>
      <c r="AM20" s="382"/>
      <c r="AN20" s="382"/>
      <c r="AO20" s="382"/>
      <c r="AP20" s="382"/>
      <c r="AQ20" s="382"/>
      <c r="AR20" s="383"/>
      <c r="AX20" s="69"/>
    </row>
    <row r="21" spans="2:51" ht="9.75" customHeight="1" thickTop="1" thickBot="1">
      <c r="B21" s="68"/>
      <c r="H21" s="381"/>
      <c r="I21" s="381"/>
      <c r="J21" s="381"/>
      <c r="K21" s="381"/>
      <c r="L21" s="381"/>
      <c r="M21" s="381"/>
      <c r="N21" s="386"/>
      <c r="O21" s="387"/>
      <c r="P21" s="387"/>
      <c r="Q21" s="387"/>
      <c r="R21" s="387"/>
      <c r="S21" s="384"/>
      <c r="T21" s="384"/>
      <c r="U21" s="384"/>
      <c r="V21" s="384"/>
      <c r="W21" s="384"/>
      <c r="X21" s="384"/>
      <c r="Y21" s="384"/>
      <c r="Z21" s="384"/>
      <c r="AA21" s="384"/>
      <c r="AB21" s="384"/>
      <c r="AC21" s="384"/>
      <c r="AD21" s="384"/>
      <c r="AE21" s="384"/>
      <c r="AF21" s="384"/>
      <c r="AG21" s="384"/>
      <c r="AH21" s="384"/>
      <c r="AI21" s="384"/>
      <c r="AJ21" s="384"/>
      <c r="AK21" s="384"/>
      <c r="AL21" s="384"/>
      <c r="AM21" s="384"/>
      <c r="AN21" s="384"/>
      <c r="AO21" s="384"/>
      <c r="AP21" s="384"/>
      <c r="AQ21" s="384"/>
      <c r="AR21" s="385"/>
      <c r="AX21" s="69"/>
    </row>
    <row r="22" spans="2:51" ht="9.75" customHeight="1" thickTop="1" thickBot="1">
      <c r="B22" s="68"/>
      <c r="H22" s="381"/>
      <c r="I22" s="381"/>
      <c r="J22" s="381"/>
      <c r="K22" s="381"/>
      <c r="L22" s="381"/>
      <c r="M22" s="381"/>
      <c r="N22" s="334" t="str">
        <f>'秘書-input'!B39</f>
        <v>一層:</v>
      </c>
      <c r="O22" s="335"/>
      <c r="P22" s="335"/>
      <c r="Q22" s="335"/>
      <c r="R22" s="335"/>
      <c r="S22" s="345">
        <f>'秘書-input'!C39</f>
        <v>42.74</v>
      </c>
      <c r="T22" s="345"/>
      <c r="U22" s="345"/>
      <c r="V22" s="345"/>
      <c r="W22" s="345"/>
      <c r="X22" s="345"/>
      <c r="Y22" s="345"/>
      <c r="Z22" s="335" t="s">
        <v>109</v>
      </c>
      <c r="AA22" s="335"/>
      <c r="AB22" s="335"/>
      <c r="AC22" s="335"/>
      <c r="AD22" s="335"/>
      <c r="AE22" s="335"/>
      <c r="AF22" s="335"/>
      <c r="AG22" s="335"/>
      <c r="AH22" s="335"/>
      <c r="AI22" s="345">
        <f>S22*0.3025</f>
        <v>12.928850000000001</v>
      </c>
      <c r="AJ22" s="345"/>
      <c r="AK22" s="345"/>
      <c r="AL22" s="345"/>
      <c r="AM22" s="345"/>
      <c r="AN22" s="345"/>
      <c r="AO22" s="345"/>
      <c r="AP22" s="335" t="s">
        <v>3</v>
      </c>
      <c r="AQ22" s="335"/>
      <c r="AR22" s="346"/>
      <c r="AX22" s="69"/>
    </row>
    <row r="23" spans="2:51" ht="9.75" customHeight="1" thickTop="1" thickBot="1">
      <c r="B23" s="68"/>
      <c r="H23" s="381"/>
      <c r="I23" s="381"/>
      <c r="J23" s="381"/>
      <c r="K23" s="381"/>
      <c r="L23" s="381"/>
      <c r="M23" s="381"/>
      <c r="N23" s="334"/>
      <c r="O23" s="335"/>
      <c r="P23" s="335"/>
      <c r="Q23" s="335"/>
      <c r="R23" s="335"/>
      <c r="S23" s="345"/>
      <c r="T23" s="345"/>
      <c r="U23" s="345"/>
      <c r="V23" s="345"/>
      <c r="W23" s="345"/>
      <c r="X23" s="345"/>
      <c r="Y23" s="345"/>
      <c r="Z23" s="335"/>
      <c r="AA23" s="335"/>
      <c r="AB23" s="335"/>
      <c r="AC23" s="335"/>
      <c r="AD23" s="335"/>
      <c r="AE23" s="335"/>
      <c r="AF23" s="335"/>
      <c r="AG23" s="335"/>
      <c r="AH23" s="335"/>
      <c r="AI23" s="345"/>
      <c r="AJ23" s="345"/>
      <c r="AK23" s="345"/>
      <c r="AL23" s="345"/>
      <c r="AM23" s="345"/>
      <c r="AN23" s="345"/>
      <c r="AO23" s="345"/>
      <c r="AP23" s="335"/>
      <c r="AQ23" s="335"/>
      <c r="AR23" s="346"/>
      <c r="AX23" s="69"/>
    </row>
    <row r="24" spans="2:51" ht="9.75" customHeight="1" thickTop="1" thickBot="1">
      <c r="B24" s="68"/>
      <c r="H24" s="381"/>
      <c r="I24" s="381"/>
      <c r="J24" s="381"/>
      <c r="K24" s="381"/>
      <c r="L24" s="381"/>
      <c r="M24" s="381"/>
      <c r="N24" s="334" t="str">
        <f>'秘書-input'!B40</f>
        <v>二層:</v>
      </c>
      <c r="O24" s="335"/>
      <c r="P24" s="335"/>
      <c r="Q24" s="335"/>
      <c r="R24" s="335"/>
      <c r="S24" s="345">
        <f>'秘書-input'!C40</f>
        <v>57.58</v>
      </c>
      <c r="T24" s="345"/>
      <c r="U24" s="345"/>
      <c r="V24" s="345"/>
      <c r="W24" s="345"/>
      <c r="X24" s="345"/>
      <c r="Y24" s="345"/>
      <c r="Z24" s="335" t="s">
        <v>109</v>
      </c>
      <c r="AA24" s="335"/>
      <c r="AB24" s="335"/>
      <c r="AC24" s="335"/>
      <c r="AD24" s="335"/>
      <c r="AE24" s="335"/>
      <c r="AF24" s="335"/>
      <c r="AG24" s="335"/>
      <c r="AH24" s="335"/>
      <c r="AI24" s="345">
        <f>S24*0.3025</f>
        <v>17.417949999999998</v>
      </c>
      <c r="AJ24" s="345"/>
      <c r="AK24" s="345"/>
      <c r="AL24" s="345"/>
      <c r="AM24" s="345"/>
      <c r="AN24" s="345"/>
      <c r="AO24" s="345"/>
      <c r="AP24" s="335" t="s">
        <v>3</v>
      </c>
      <c r="AQ24" s="335"/>
      <c r="AR24" s="346"/>
      <c r="AX24" s="69"/>
    </row>
    <row r="25" spans="2:51" ht="9.75" customHeight="1" thickTop="1" thickBot="1">
      <c r="B25" s="68"/>
      <c r="H25" s="381"/>
      <c r="I25" s="381"/>
      <c r="J25" s="381"/>
      <c r="K25" s="381"/>
      <c r="L25" s="381"/>
      <c r="M25" s="381"/>
      <c r="N25" s="334"/>
      <c r="O25" s="335"/>
      <c r="P25" s="335"/>
      <c r="Q25" s="335"/>
      <c r="R25" s="335"/>
      <c r="S25" s="345"/>
      <c r="T25" s="345"/>
      <c r="U25" s="345"/>
      <c r="V25" s="345"/>
      <c r="W25" s="345"/>
      <c r="X25" s="345"/>
      <c r="Y25" s="345"/>
      <c r="Z25" s="335"/>
      <c r="AA25" s="335"/>
      <c r="AB25" s="335"/>
      <c r="AC25" s="335"/>
      <c r="AD25" s="335"/>
      <c r="AE25" s="335"/>
      <c r="AF25" s="335"/>
      <c r="AG25" s="335"/>
      <c r="AH25" s="335"/>
      <c r="AI25" s="345"/>
      <c r="AJ25" s="345"/>
      <c r="AK25" s="345"/>
      <c r="AL25" s="345"/>
      <c r="AM25" s="345"/>
      <c r="AN25" s="345"/>
      <c r="AO25" s="345"/>
      <c r="AP25" s="335"/>
      <c r="AQ25" s="335"/>
      <c r="AR25" s="346"/>
      <c r="AX25" s="69"/>
    </row>
    <row r="26" spans="2:51" ht="9.75" customHeight="1" thickTop="1" thickBot="1">
      <c r="B26" s="68"/>
      <c r="H26" s="381"/>
      <c r="I26" s="381"/>
      <c r="J26" s="381"/>
      <c r="K26" s="381"/>
      <c r="L26" s="381"/>
      <c r="M26" s="381"/>
      <c r="N26" s="334" t="str">
        <f>'秘書-input'!B41</f>
        <v>騎樓:</v>
      </c>
      <c r="O26" s="335"/>
      <c r="P26" s="335"/>
      <c r="Q26" s="335"/>
      <c r="R26" s="335"/>
      <c r="S26" s="345">
        <f>'秘書-input'!C41</f>
        <v>14.84</v>
      </c>
      <c r="T26" s="345"/>
      <c r="U26" s="345"/>
      <c r="V26" s="345"/>
      <c r="W26" s="345"/>
      <c r="X26" s="345"/>
      <c r="Y26" s="345"/>
      <c r="Z26" s="335" t="s">
        <v>109</v>
      </c>
      <c r="AA26" s="335"/>
      <c r="AB26" s="335"/>
      <c r="AC26" s="335"/>
      <c r="AD26" s="335"/>
      <c r="AE26" s="335"/>
      <c r="AF26" s="335"/>
      <c r="AG26" s="335"/>
      <c r="AH26" s="335"/>
      <c r="AI26" s="345">
        <f>S26*0.3025</f>
        <v>4.4890999999999996</v>
      </c>
      <c r="AJ26" s="345"/>
      <c r="AK26" s="345"/>
      <c r="AL26" s="345"/>
      <c r="AM26" s="345"/>
      <c r="AN26" s="345"/>
      <c r="AO26" s="345"/>
      <c r="AP26" s="335" t="s">
        <v>3</v>
      </c>
      <c r="AQ26" s="335"/>
      <c r="AR26" s="346"/>
      <c r="AX26" s="69"/>
    </row>
    <row r="27" spans="2:51" ht="9.75" customHeight="1" thickTop="1" thickBot="1">
      <c r="B27" s="68"/>
      <c r="H27" s="381"/>
      <c r="I27" s="381"/>
      <c r="J27" s="381"/>
      <c r="K27" s="381"/>
      <c r="L27" s="381"/>
      <c r="M27" s="381"/>
      <c r="N27" s="334"/>
      <c r="O27" s="335"/>
      <c r="P27" s="335"/>
      <c r="Q27" s="335"/>
      <c r="R27" s="335"/>
      <c r="S27" s="345"/>
      <c r="T27" s="345"/>
      <c r="U27" s="345"/>
      <c r="V27" s="345"/>
      <c r="W27" s="345"/>
      <c r="X27" s="345"/>
      <c r="Y27" s="345"/>
      <c r="Z27" s="335"/>
      <c r="AA27" s="335"/>
      <c r="AB27" s="335"/>
      <c r="AC27" s="335"/>
      <c r="AD27" s="335"/>
      <c r="AE27" s="335"/>
      <c r="AF27" s="335"/>
      <c r="AG27" s="335"/>
      <c r="AH27" s="335"/>
      <c r="AI27" s="345"/>
      <c r="AJ27" s="345"/>
      <c r="AK27" s="345"/>
      <c r="AL27" s="345"/>
      <c r="AM27" s="345"/>
      <c r="AN27" s="345"/>
      <c r="AO27" s="345"/>
      <c r="AP27" s="335"/>
      <c r="AQ27" s="335"/>
      <c r="AR27" s="346"/>
      <c r="AX27" s="69"/>
    </row>
    <row r="28" spans="2:51" ht="9.75" customHeight="1" thickTop="1" thickBot="1">
      <c r="B28" s="68"/>
      <c r="H28" s="381"/>
      <c r="I28" s="381"/>
      <c r="J28" s="381"/>
      <c r="K28" s="381"/>
      <c r="L28" s="381"/>
      <c r="M28" s="381"/>
      <c r="N28" s="334" t="str">
        <f>'秘書-input'!B42</f>
        <v>其他:</v>
      </c>
      <c r="O28" s="335"/>
      <c r="P28" s="335"/>
      <c r="Q28" s="335"/>
      <c r="R28" s="335"/>
      <c r="S28" s="345">
        <f>'秘書-input'!C42</f>
        <v>0</v>
      </c>
      <c r="T28" s="345"/>
      <c r="U28" s="345"/>
      <c r="V28" s="345"/>
      <c r="W28" s="345"/>
      <c r="X28" s="345"/>
      <c r="Y28" s="345"/>
      <c r="Z28" s="335" t="s">
        <v>109</v>
      </c>
      <c r="AA28" s="335"/>
      <c r="AB28" s="335"/>
      <c r="AC28" s="335"/>
      <c r="AD28" s="335"/>
      <c r="AE28" s="335"/>
      <c r="AF28" s="335"/>
      <c r="AG28" s="335"/>
      <c r="AH28" s="335"/>
      <c r="AI28" s="345">
        <f>S28*0.3025</f>
        <v>0</v>
      </c>
      <c r="AJ28" s="345"/>
      <c r="AK28" s="345"/>
      <c r="AL28" s="345"/>
      <c r="AM28" s="345"/>
      <c r="AN28" s="345"/>
      <c r="AO28" s="345"/>
      <c r="AP28" s="335" t="s">
        <v>3</v>
      </c>
      <c r="AQ28" s="335"/>
      <c r="AR28" s="346"/>
      <c r="AX28" s="69"/>
    </row>
    <row r="29" spans="2:51" ht="9.75" customHeight="1" thickTop="1" thickBot="1">
      <c r="B29" s="68"/>
      <c r="H29" s="381"/>
      <c r="I29" s="381"/>
      <c r="J29" s="381"/>
      <c r="K29" s="381"/>
      <c r="L29" s="381"/>
      <c r="M29" s="381"/>
      <c r="N29" s="334"/>
      <c r="O29" s="335"/>
      <c r="P29" s="335"/>
      <c r="Q29" s="335"/>
      <c r="R29" s="335"/>
      <c r="S29" s="345"/>
      <c r="T29" s="345"/>
      <c r="U29" s="345"/>
      <c r="V29" s="345"/>
      <c r="W29" s="345"/>
      <c r="X29" s="345"/>
      <c r="Y29" s="345"/>
      <c r="Z29" s="335"/>
      <c r="AA29" s="335"/>
      <c r="AB29" s="335"/>
      <c r="AC29" s="335"/>
      <c r="AD29" s="335"/>
      <c r="AE29" s="335"/>
      <c r="AF29" s="335"/>
      <c r="AG29" s="335"/>
      <c r="AH29" s="335"/>
      <c r="AI29" s="345"/>
      <c r="AJ29" s="345"/>
      <c r="AK29" s="345"/>
      <c r="AL29" s="345"/>
      <c r="AM29" s="345"/>
      <c r="AN29" s="345"/>
      <c r="AO29" s="345"/>
      <c r="AP29" s="335"/>
      <c r="AQ29" s="335"/>
      <c r="AR29" s="346"/>
      <c r="AX29" s="69"/>
    </row>
    <row r="30" spans="2:51" ht="9.75" customHeight="1" thickTop="1" thickBot="1">
      <c r="B30" s="68"/>
      <c r="H30" s="381"/>
      <c r="I30" s="381"/>
      <c r="J30" s="381"/>
      <c r="K30" s="381"/>
      <c r="L30" s="381"/>
      <c r="M30" s="381"/>
      <c r="N30" s="334" t="str">
        <f>'秘書-input'!B43</f>
        <v>其他:</v>
      </c>
      <c r="O30" s="335"/>
      <c r="P30" s="335"/>
      <c r="Q30" s="335"/>
      <c r="R30" s="335"/>
      <c r="S30" s="345">
        <f>'秘書-input'!C43</f>
        <v>0</v>
      </c>
      <c r="T30" s="345"/>
      <c r="U30" s="345"/>
      <c r="V30" s="345"/>
      <c r="W30" s="345"/>
      <c r="X30" s="345"/>
      <c r="Y30" s="345"/>
      <c r="Z30" s="335" t="s">
        <v>109</v>
      </c>
      <c r="AA30" s="335"/>
      <c r="AB30" s="335"/>
      <c r="AC30" s="335"/>
      <c r="AD30" s="335"/>
      <c r="AE30" s="335"/>
      <c r="AF30" s="335"/>
      <c r="AG30" s="335"/>
      <c r="AH30" s="335"/>
      <c r="AI30" s="345">
        <f>S30*0.3025</f>
        <v>0</v>
      </c>
      <c r="AJ30" s="345"/>
      <c r="AK30" s="345"/>
      <c r="AL30" s="345"/>
      <c r="AM30" s="345"/>
      <c r="AN30" s="345"/>
      <c r="AO30" s="345"/>
      <c r="AP30" s="335" t="s">
        <v>3</v>
      </c>
      <c r="AQ30" s="335"/>
      <c r="AR30" s="346"/>
      <c r="AX30" s="69"/>
    </row>
    <row r="31" spans="2:51" ht="9.75" customHeight="1" thickTop="1" thickBot="1">
      <c r="B31" s="68"/>
      <c r="H31" s="381"/>
      <c r="I31" s="381"/>
      <c r="J31" s="381"/>
      <c r="K31" s="381"/>
      <c r="L31" s="381"/>
      <c r="M31" s="381"/>
      <c r="N31" s="334"/>
      <c r="O31" s="335"/>
      <c r="P31" s="335"/>
      <c r="Q31" s="335"/>
      <c r="R31" s="335"/>
      <c r="S31" s="345"/>
      <c r="T31" s="345"/>
      <c r="U31" s="345"/>
      <c r="V31" s="345"/>
      <c r="W31" s="345"/>
      <c r="X31" s="345"/>
      <c r="Y31" s="345"/>
      <c r="Z31" s="335"/>
      <c r="AA31" s="335"/>
      <c r="AB31" s="335"/>
      <c r="AC31" s="335"/>
      <c r="AD31" s="335"/>
      <c r="AE31" s="335"/>
      <c r="AF31" s="335"/>
      <c r="AG31" s="335"/>
      <c r="AH31" s="335"/>
      <c r="AI31" s="345"/>
      <c r="AJ31" s="345"/>
      <c r="AK31" s="345"/>
      <c r="AL31" s="345"/>
      <c r="AM31" s="345"/>
      <c r="AN31" s="345"/>
      <c r="AO31" s="345"/>
      <c r="AP31" s="335"/>
      <c r="AQ31" s="335"/>
      <c r="AR31" s="346"/>
      <c r="AX31" s="69"/>
    </row>
    <row r="32" spans="2:51" ht="9.75" customHeight="1" thickTop="1" thickBot="1">
      <c r="B32" s="68"/>
      <c r="H32" s="381"/>
      <c r="I32" s="381"/>
      <c r="J32" s="381"/>
      <c r="K32" s="381"/>
      <c r="L32" s="381"/>
      <c r="M32" s="381"/>
      <c r="N32" s="334" t="str">
        <f>'秘書-input'!B44</f>
        <v>其他:</v>
      </c>
      <c r="O32" s="335"/>
      <c r="P32" s="335"/>
      <c r="Q32" s="335"/>
      <c r="R32" s="335"/>
      <c r="S32" s="345">
        <f>'秘書-input'!C44</f>
        <v>0</v>
      </c>
      <c r="T32" s="345"/>
      <c r="U32" s="345"/>
      <c r="V32" s="345"/>
      <c r="W32" s="345"/>
      <c r="X32" s="345"/>
      <c r="Y32" s="345"/>
      <c r="Z32" s="335" t="s">
        <v>109</v>
      </c>
      <c r="AA32" s="335"/>
      <c r="AB32" s="335"/>
      <c r="AC32" s="335"/>
      <c r="AD32" s="335"/>
      <c r="AE32" s="335"/>
      <c r="AF32" s="335"/>
      <c r="AG32" s="335"/>
      <c r="AH32" s="335"/>
      <c r="AI32" s="345">
        <f>S32*0.3025</f>
        <v>0</v>
      </c>
      <c r="AJ32" s="345"/>
      <c r="AK32" s="345"/>
      <c r="AL32" s="345"/>
      <c r="AM32" s="345"/>
      <c r="AN32" s="345"/>
      <c r="AO32" s="345"/>
      <c r="AP32" s="335" t="s">
        <v>3</v>
      </c>
      <c r="AQ32" s="335"/>
      <c r="AR32" s="346"/>
      <c r="AX32" s="69"/>
    </row>
    <row r="33" spans="2:50" ht="9.75" customHeight="1" thickTop="1" thickBot="1">
      <c r="B33" s="68"/>
      <c r="H33" s="381"/>
      <c r="I33" s="381"/>
      <c r="J33" s="381"/>
      <c r="K33" s="381"/>
      <c r="L33" s="381"/>
      <c r="M33" s="381"/>
      <c r="N33" s="334"/>
      <c r="O33" s="335"/>
      <c r="P33" s="335"/>
      <c r="Q33" s="335"/>
      <c r="R33" s="335"/>
      <c r="S33" s="345"/>
      <c r="T33" s="345"/>
      <c r="U33" s="345"/>
      <c r="V33" s="345"/>
      <c r="W33" s="345"/>
      <c r="X33" s="345"/>
      <c r="Y33" s="345"/>
      <c r="Z33" s="335"/>
      <c r="AA33" s="335"/>
      <c r="AB33" s="335"/>
      <c r="AC33" s="335"/>
      <c r="AD33" s="335"/>
      <c r="AE33" s="335"/>
      <c r="AF33" s="335"/>
      <c r="AG33" s="335"/>
      <c r="AH33" s="335"/>
      <c r="AI33" s="345"/>
      <c r="AJ33" s="345"/>
      <c r="AK33" s="345"/>
      <c r="AL33" s="345"/>
      <c r="AM33" s="345"/>
      <c r="AN33" s="345"/>
      <c r="AO33" s="345"/>
      <c r="AP33" s="335"/>
      <c r="AQ33" s="335"/>
      <c r="AR33" s="346"/>
      <c r="AX33" s="69"/>
    </row>
    <row r="34" spans="2:50" ht="9.75" customHeight="1" thickTop="1" thickBot="1">
      <c r="B34" s="68"/>
      <c r="H34" s="381"/>
      <c r="I34" s="381"/>
      <c r="J34" s="381"/>
      <c r="K34" s="381"/>
      <c r="L34" s="381"/>
      <c r="M34" s="381"/>
      <c r="N34" s="334" t="str">
        <f>'秘書-input'!B45</f>
        <v>其他:</v>
      </c>
      <c r="O34" s="335"/>
      <c r="P34" s="335"/>
      <c r="Q34" s="335"/>
      <c r="R34" s="335"/>
      <c r="S34" s="345">
        <f>'秘書-input'!C45</f>
        <v>0</v>
      </c>
      <c r="T34" s="345"/>
      <c r="U34" s="345"/>
      <c r="V34" s="345"/>
      <c r="W34" s="345"/>
      <c r="X34" s="345"/>
      <c r="Y34" s="345"/>
      <c r="Z34" s="335" t="s">
        <v>109</v>
      </c>
      <c r="AA34" s="335"/>
      <c r="AB34" s="335"/>
      <c r="AC34" s="335"/>
      <c r="AD34" s="335"/>
      <c r="AE34" s="335"/>
      <c r="AF34" s="335"/>
      <c r="AG34" s="335"/>
      <c r="AH34" s="335"/>
      <c r="AI34" s="345">
        <f>S34*0.3025</f>
        <v>0</v>
      </c>
      <c r="AJ34" s="345"/>
      <c r="AK34" s="345"/>
      <c r="AL34" s="345"/>
      <c r="AM34" s="345"/>
      <c r="AN34" s="345"/>
      <c r="AO34" s="345"/>
      <c r="AP34" s="335" t="s">
        <v>3</v>
      </c>
      <c r="AQ34" s="335"/>
      <c r="AR34" s="346"/>
      <c r="AX34" s="69"/>
    </row>
    <row r="35" spans="2:50" ht="9.75" customHeight="1" thickTop="1" thickBot="1">
      <c r="B35" s="68"/>
      <c r="H35" s="381"/>
      <c r="I35" s="381"/>
      <c r="J35" s="381"/>
      <c r="K35" s="381"/>
      <c r="L35" s="381"/>
      <c r="M35" s="381"/>
      <c r="N35" s="334"/>
      <c r="O35" s="335"/>
      <c r="P35" s="335"/>
      <c r="Q35" s="335"/>
      <c r="R35" s="335"/>
      <c r="S35" s="345"/>
      <c r="T35" s="345"/>
      <c r="U35" s="345"/>
      <c r="V35" s="345"/>
      <c r="W35" s="345"/>
      <c r="X35" s="345"/>
      <c r="Y35" s="345"/>
      <c r="Z35" s="335"/>
      <c r="AA35" s="335"/>
      <c r="AB35" s="335"/>
      <c r="AC35" s="335"/>
      <c r="AD35" s="335"/>
      <c r="AE35" s="335"/>
      <c r="AF35" s="335"/>
      <c r="AG35" s="335"/>
      <c r="AH35" s="335"/>
      <c r="AI35" s="345"/>
      <c r="AJ35" s="345"/>
      <c r="AK35" s="345"/>
      <c r="AL35" s="345"/>
      <c r="AM35" s="345"/>
      <c r="AN35" s="345"/>
      <c r="AO35" s="345"/>
      <c r="AP35" s="335"/>
      <c r="AQ35" s="335"/>
      <c r="AR35" s="346"/>
      <c r="AX35" s="69"/>
    </row>
    <row r="36" spans="2:50" ht="9.75" customHeight="1" thickTop="1" thickBot="1">
      <c r="B36" s="68"/>
      <c r="H36" s="381"/>
      <c r="I36" s="381"/>
      <c r="J36" s="381"/>
      <c r="K36" s="381"/>
      <c r="L36" s="381"/>
      <c r="M36" s="381"/>
      <c r="N36" s="334" t="str">
        <f>'秘書-input'!B46</f>
        <v>合計</v>
      </c>
      <c r="O36" s="335"/>
      <c r="P36" s="335"/>
      <c r="Q36" s="335"/>
      <c r="R36" s="335"/>
      <c r="S36" s="345">
        <f>'秘書-input'!C46</f>
        <v>115.16</v>
      </c>
      <c r="T36" s="345"/>
      <c r="U36" s="345"/>
      <c r="V36" s="345"/>
      <c r="W36" s="345"/>
      <c r="X36" s="345"/>
      <c r="Y36" s="345"/>
      <c r="Z36" s="335" t="s">
        <v>109</v>
      </c>
      <c r="AA36" s="335"/>
      <c r="AB36" s="335"/>
      <c r="AC36" s="335"/>
      <c r="AD36" s="335"/>
      <c r="AE36" s="335"/>
      <c r="AF36" s="335"/>
      <c r="AG36" s="335"/>
      <c r="AH36" s="335"/>
      <c r="AI36" s="390">
        <f>S36*0.3025</f>
        <v>34.835899999999995</v>
      </c>
      <c r="AJ36" s="390"/>
      <c r="AK36" s="390"/>
      <c r="AL36" s="390"/>
      <c r="AM36" s="390"/>
      <c r="AN36" s="390"/>
      <c r="AO36" s="390"/>
      <c r="AP36" s="335" t="s">
        <v>3</v>
      </c>
      <c r="AQ36" s="335"/>
      <c r="AR36" s="346"/>
      <c r="AX36" s="69"/>
    </row>
    <row r="37" spans="2:50" ht="9.75" customHeight="1" thickTop="1" thickBot="1">
      <c r="B37" s="68"/>
      <c r="H37" s="381"/>
      <c r="I37" s="381"/>
      <c r="J37" s="381"/>
      <c r="K37" s="381"/>
      <c r="L37" s="381"/>
      <c r="M37" s="381"/>
      <c r="N37" s="334"/>
      <c r="O37" s="335"/>
      <c r="P37" s="335"/>
      <c r="Q37" s="335"/>
      <c r="R37" s="335"/>
      <c r="S37" s="345"/>
      <c r="T37" s="345"/>
      <c r="U37" s="345"/>
      <c r="V37" s="345"/>
      <c r="W37" s="345"/>
      <c r="X37" s="345"/>
      <c r="Y37" s="345"/>
      <c r="Z37" s="335"/>
      <c r="AA37" s="335"/>
      <c r="AB37" s="335"/>
      <c r="AC37" s="335"/>
      <c r="AD37" s="335"/>
      <c r="AE37" s="335"/>
      <c r="AF37" s="335"/>
      <c r="AG37" s="335"/>
      <c r="AH37" s="335"/>
      <c r="AI37" s="390"/>
      <c r="AJ37" s="390"/>
      <c r="AK37" s="390"/>
      <c r="AL37" s="390"/>
      <c r="AM37" s="390"/>
      <c r="AN37" s="390"/>
      <c r="AO37" s="390"/>
      <c r="AP37" s="335"/>
      <c r="AQ37" s="335"/>
      <c r="AR37" s="346"/>
      <c r="AX37" s="69"/>
    </row>
    <row r="38" spans="2:50" ht="9.75" customHeight="1" thickTop="1">
      <c r="B38" s="68"/>
      <c r="AX38" s="69"/>
    </row>
    <row r="39" spans="2:50" ht="9.75" customHeight="1" thickBot="1">
      <c r="B39" s="68"/>
      <c r="I39" s="71"/>
      <c r="AX39" s="69"/>
    </row>
    <row r="40" spans="2:50" ht="9.75" customHeight="1" thickTop="1">
      <c r="B40" s="68"/>
      <c r="H40" s="339" t="s">
        <v>25</v>
      </c>
      <c r="I40" s="340"/>
      <c r="J40" s="340"/>
      <c r="K40" s="340"/>
      <c r="L40" s="340"/>
      <c r="M40" s="340"/>
      <c r="N40" s="369" t="s">
        <v>24</v>
      </c>
      <c r="O40" s="370"/>
      <c r="P40" s="370"/>
      <c r="Q40" s="370"/>
      <c r="R40" s="370"/>
      <c r="S40" s="370"/>
      <c r="T40" s="370"/>
      <c r="U40" s="364" t="str">
        <f>'秘書-input'!C50</f>
        <v>無</v>
      </c>
      <c r="V40" s="364"/>
      <c r="W40" s="364"/>
      <c r="X40" s="364"/>
      <c r="Y40" s="365"/>
      <c r="Z40" s="356" t="s">
        <v>43</v>
      </c>
      <c r="AA40" s="357"/>
      <c r="AB40" s="357"/>
      <c r="AC40" s="357"/>
      <c r="AD40" s="357"/>
      <c r="AE40" s="357"/>
      <c r="AF40" s="357"/>
      <c r="AG40" s="357"/>
      <c r="AH40" s="364" t="str">
        <f>'秘書-input'!E50</f>
        <v>無</v>
      </c>
      <c r="AI40" s="364"/>
      <c r="AJ40" s="364"/>
      <c r="AK40" s="364"/>
      <c r="AL40" s="364"/>
      <c r="AM40" s="364"/>
      <c r="AN40" s="360" t="s">
        <v>4</v>
      </c>
      <c r="AO40" s="360"/>
      <c r="AP40" s="360"/>
      <c r="AQ40" s="360"/>
      <c r="AR40" s="361"/>
      <c r="AX40" s="69"/>
    </row>
    <row r="41" spans="2:50" ht="9.75" customHeight="1" thickBot="1">
      <c r="B41" s="68"/>
      <c r="H41" s="341"/>
      <c r="I41" s="342"/>
      <c r="J41" s="342"/>
      <c r="K41" s="342"/>
      <c r="L41" s="342"/>
      <c r="M41" s="342"/>
      <c r="N41" s="371"/>
      <c r="O41" s="372"/>
      <c r="P41" s="372"/>
      <c r="Q41" s="372"/>
      <c r="R41" s="372"/>
      <c r="S41" s="372"/>
      <c r="T41" s="372"/>
      <c r="U41" s="366"/>
      <c r="V41" s="366"/>
      <c r="W41" s="366"/>
      <c r="X41" s="366"/>
      <c r="Y41" s="367"/>
      <c r="Z41" s="358"/>
      <c r="AA41" s="359"/>
      <c r="AB41" s="359"/>
      <c r="AC41" s="359"/>
      <c r="AD41" s="359"/>
      <c r="AE41" s="359"/>
      <c r="AF41" s="359"/>
      <c r="AG41" s="359"/>
      <c r="AH41" s="366"/>
      <c r="AI41" s="366"/>
      <c r="AJ41" s="366"/>
      <c r="AK41" s="366"/>
      <c r="AL41" s="366"/>
      <c r="AM41" s="366"/>
      <c r="AN41" s="362"/>
      <c r="AO41" s="362"/>
      <c r="AP41" s="362"/>
      <c r="AQ41" s="362"/>
      <c r="AR41" s="363"/>
      <c r="AX41" s="69"/>
    </row>
    <row r="42" spans="2:50" ht="9.75" customHeight="1" thickTop="1">
      <c r="B42" s="68"/>
      <c r="H42" s="341"/>
      <c r="I42" s="342"/>
      <c r="J42" s="342"/>
      <c r="K42" s="342"/>
      <c r="L42" s="342"/>
      <c r="M42" s="342"/>
      <c r="N42" s="369" t="s">
        <v>110</v>
      </c>
      <c r="O42" s="370"/>
      <c r="P42" s="370"/>
      <c r="Q42" s="370"/>
      <c r="R42" s="370"/>
      <c r="S42" s="370"/>
      <c r="T42" s="370"/>
      <c r="U42" s="364" t="str">
        <f>'秘書-input'!C51</f>
        <v>無</v>
      </c>
      <c r="V42" s="364"/>
      <c r="W42" s="364"/>
      <c r="X42" s="364"/>
      <c r="Y42" s="365"/>
      <c r="Z42" s="356" t="s">
        <v>44</v>
      </c>
      <c r="AA42" s="357"/>
      <c r="AB42" s="357"/>
      <c r="AC42" s="357"/>
      <c r="AD42" s="357"/>
      <c r="AE42" s="357"/>
      <c r="AF42" s="357"/>
      <c r="AG42" s="357"/>
      <c r="AH42" s="364" t="str">
        <f>'秘書-input'!E51</f>
        <v>無</v>
      </c>
      <c r="AI42" s="364"/>
      <c r="AJ42" s="364"/>
      <c r="AK42" s="364"/>
      <c r="AL42" s="364"/>
      <c r="AM42" s="364"/>
      <c r="AN42" s="360" t="s">
        <v>17</v>
      </c>
      <c r="AO42" s="360"/>
      <c r="AP42" s="360"/>
      <c r="AQ42" s="360"/>
      <c r="AR42" s="361"/>
      <c r="AX42" s="69"/>
    </row>
    <row r="43" spans="2:50" ht="9.75" customHeight="1" thickBot="1">
      <c r="B43" s="68"/>
      <c r="H43" s="341"/>
      <c r="I43" s="342"/>
      <c r="J43" s="342"/>
      <c r="K43" s="342"/>
      <c r="L43" s="342"/>
      <c r="M43" s="342"/>
      <c r="N43" s="371"/>
      <c r="O43" s="372"/>
      <c r="P43" s="372"/>
      <c r="Q43" s="372"/>
      <c r="R43" s="372"/>
      <c r="S43" s="372"/>
      <c r="T43" s="372"/>
      <c r="U43" s="366"/>
      <c r="V43" s="366"/>
      <c r="W43" s="366"/>
      <c r="X43" s="366"/>
      <c r="Y43" s="367"/>
      <c r="Z43" s="358"/>
      <c r="AA43" s="359"/>
      <c r="AB43" s="359"/>
      <c r="AC43" s="359"/>
      <c r="AD43" s="359"/>
      <c r="AE43" s="359"/>
      <c r="AF43" s="359"/>
      <c r="AG43" s="359"/>
      <c r="AH43" s="366"/>
      <c r="AI43" s="366"/>
      <c r="AJ43" s="366"/>
      <c r="AK43" s="366"/>
      <c r="AL43" s="366"/>
      <c r="AM43" s="366"/>
      <c r="AN43" s="362"/>
      <c r="AO43" s="362"/>
      <c r="AP43" s="362"/>
      <c r="AQ43" s="362"/>
      <c r="AR43" s="363"/>
      <c r="AX43" s="69"/>
    </row>
    <row r="44" spans="2:50" ht="9.75" customHeight="1" thickTop="1">
      <c r="B44" s="68"/>
      <c r="H44" s="341"/>
      <c r="I44" s="342"/>
      <c r="J44" s="342"/>
      <c r="K44" s="342"/>
      <c r="L44" s="342"/>
      <c r="M44" s="342"/>
      <c r="N44" s="369" t="s">
        <v>16</v>
      </c>
      <c r="O44" s="370"/>
      <c r="P44" s="370"/>
      <c r="Q44" s="370"/>
      <c r="R44" s="370"/>
      <c r="S44" s="370"/>
      <c r="T44" s="370"/>
      <c r="U44" s="364" t="str">
        <f>'秘書-input'!C52</f>
        <v>無</v>
      </c>
      <c r="V44" s="364"/>
      <c r="W44" s="364"/>
      <c r="X44" s="364"/>
      <c r="Y44" s="365"/>
      <c r="Z44" s="356" t="s">
        <v>19</v>
      </c>
      <c r="AA44" s="357"/>
      <c r="AB44" s="357"/>
      <c r="AC44" s="357"/>
      <c r="AD44" s="357"/>
      <c r="AE44" s="357"/>
      <c r="AF44" s="357"/>
      <c r="AG44" s="357"/>
      <c r="AH44" s="364" t="str">
        <f>'秘書-input'!E52</f>
        <v>無</v>
      </c>
      <c r="AI44" s="364"/>
      <c r="AJ44" s="364"/>
      <c r="AK44" s="364"/>
      <c r="AL44" s="364"/>
      <c r="AM44" s="364"/>
      <c r="AN44" s="360" t="s">
        <v>17</v>
      </c>
      <c r="AO44" s="360"/>
      <c r="AP44" s="360"/>
      <c r="AQ44" s="360"/>
      <c r="AR44" s="361"/>
      <c r="AX44" s="69"/>
    </row>
    <row r="45" spans="2:50" ht="9.75" customHeight="1" thickBot="1">
      <c r="B45" s="68"/>
      <c r="H45" s="341"/>
      <c r="I45" s="342"/>
      <c r="J45" s="342"/>
      <c r="K45" s="342"/>
      <c r="L45" s="342"/>
      <c r="M45" s="342"/>
      <c r="N45" s="371"/>
      <c r="O45" s="372"/>
      <c r="P45" s="372"/>
      <c r="Q45" s="372"/>
      <c r="R45" s="372"/>
      <c r="S45" s="372"/>
      <c r="T45" s="372"/>
      <c r="U45" s="366"/>
      <c r="V45" s="366"/>
      <c r="W45" s="366"/>
      <c r="X45" s="366"/>
      <c r="Y45" s="367"/>
      <c r="Z45" s="358"/>
      <c r="AA45" s="359"/>
      <c r="AB45" s="359"/>
      <c r="AC45" s="359"/>
      <c r="AD45" s="359"/>
      <c r="AE45" s="359"/>
      <c r="AF45" s="359"/>
      <c r="AG45" s="359"/>
      <c r="AH45" s="366"/>
      <c r="AI45" s="366"/>
      <c r="AJ45" s="366"/>
      <c r="AK45" s="366"/>
      <c r="AL45" s="366"/>
      <c r="AM45" s="366"/>
      <c r="AN45" s="362"/>
      <c r="AO45" s="362"/>
      <c r="AP45" s="362"/>
      <c r="AQ45" s="362"/>
      <c r="AR45" s="363"/>
      <c r="AX45" s="69"/>
    </row>
    <row r="46" spans="2:50" ht="9.75" customHeight="1" thickTop="1">
      <c r="B46" s="68"/>
      <c r="H46" s="341"/>
      <c r="I46" s="342"/>
      <c r="J46" s="342"/>
      <c r="K46" s="342"/>
      <c r="L46" s="342"/>
      <c r="M46" s="342"/>
      <c r="N46" s="369" t="s">
        <v>35</v>
      </c>
      <c r="O46" s="370"/>
      <c r="P46" s="370"/>
      <c r="Q46" s="370"/>
      <c r="R46" s="370"/>
      <c r="S46" s="370"/>
      <c r="T46" s="370"/>
      <c r="U46" s="364" t="str">
        <f>'秘書-input'!C53</f>
        <v>無</v>
      </c>
      <c r="V46" s="364"/>
      <c r="W46" s="364"/>
      <c r="X46" s="364"/>
      <c r="Y46" s="365"/>
      <c r="Z46" s="356" t="s">
        <v>111</v>
      </c>
      <c r="AA46" s="357"/>
      <c r="AB46" s="357"/>
      <c r="AC46" s="357"/>
      <c r="AD46" s="357"/>
      <c r="AE46" s="357"/>
      <c r="AF46" s="357"/>
      <c r="AG46" s="357"/>
      <c r="AH46" s="364" t="str">
        <f>'秘書-input'!E53</f>
        <v>無</v>
      </c>
      <c r="AI46" s="364"/>
      <c r="AJ46" s="364"/>
      <c r="AK46" s="364"/>
      <c r="AL46" s="364"/>
      <c r="AM46" s="364"/>
      <c r="AN46" s="364"/>
      <c r="AO46" s="364"/>
      <c r="AP46" s="364"/>
      <c r="AQ46" s="364"/>
      <c r="AR46" s="365"/>
      <c r="AX46" s="69"/>
    </row>
    <row r="47" spans="2:50" ht="9.75" customHeight="1" thickBot="1">
      <c r="B47" s="68"/>
      <c r="H47" s="341"/>
      <c r="I47" s="342"/>
      <c r="J47" s="342"/>
      <c r="K47" s="342"/>
      <c r="L47" s="342"/>
      <c r="M47" s="342"/>
      <c r="N47" s="373"/>
      <c r="O47" s="374"/>
      <c r="P47" s="374"/>
      <c r="Q47" s="374"/>
      <c r="R47" s="374"/>
      <c r="S47" s="374"/>
      <c r="T47" s="374"/>
      <c r="U47" s="329"/>
      <c r="V47" s="329"/>
      <c r="W47" s="329"/>
      <c r="X47" s="329"/>
      <c r="Y47" s="368"/>
      <c r="Z47" s="358"/>
      <c r="AA47" s="359"/>
      <c r="AB47" s="359"/>
      <c r="AC47" s="359"/>
      <c r="AD47" s="359"/>
      <c r="AE47" s="359"/>
      <c r="AF47" s="359"/>
      <c r="AG47" s="359"/>
      <c r="AH47" s="366"/>
      <c r="AI47" s="366"/>
      <c r="AJ47" s="366"/>
      <c r="AK47" s="366"/>
      <c r="AL47" s="366"/>
      <c r="AM47" s="366"/>
      <c r="AN47" s="366"/>
      <c r="AO47" s="366"/>
      <c r="AP47" s="366"/>
      <c r="AQ47" s="366"/>
      <c r="AR47" s="367"/>
      <c r="AS47" s="86"/>
      <c r="AT47" s="86"/>
      <c r="AU47" s="86"/>
      <c r="AX47" s="69"/>
    </row>
    <row r="48" spans="2:50" ht="9.75" customHeight="1" thickTop="1">
      <c r="B48" s="68"/>
      <c r="H48" s="341"/>
      <c r="I48" s="342"/>
      <c r="J48" s="342"/>
      <c r="K48" s="342"/>
      <c r="L48" s="342"/>
      <c r="M48" s="342"/>
      <c r="N48" s="356" t="s">
        <v>112</v>
      </c>
      <c r="O48" s="357"/>
      <c r="P48" s="357"/>
      <c r="Q48" s="357"/>
      <c r="R48" s="357"/>
      <c r="S48" s="357"/>
      <c r="T48" s="357"/>
      <c r="U48" s="357"/>
      <c r="V48" s="357"/>
      <c r="W48" s="357"/>
      <c r="X48" s="357"/>
      <c r="Y48" s="357"/>
      <c r="Z48" s="357"/>
      <c r="AA48" s="357"/>
      <c r="AB48" s="357"/>
      <c r="AC48" s="357"/>
      <c r="AD48" s="357"/>
      <c r="AE48" s="357"/>
      <c r="AF48" s="357"/>
      <c r="AG48" s="357"/>
      <c r="AH48" s="357"/>
      <c r="AI48" s="357"/>
      <c r="AJ48" s="357"/>
      <c r="AK48" s="357"/>
      <c r="AL48" s="364" t="str">
        <f>'秘書-input'!E54</f>
        <v>無</v>
      </c>
      <c r="AM48" s="364"/>
      <c r="AN48" s="364"/>
      <c r="AO48" s="364"/>
      <c r="AP48" s="364"/>
      <c r="AQ48" s="364"/>
      <c r="AR48" s="365"/>
      <c r="AS48" s="86"/>
      <c r="AT48" s="86"/>
      <c r="AU48" s="86"/>
      <c r="AX48" s="69"/>
    </row>
    <row r="49" spans="2:50" ht="9.75" customHeight="1" thickBot="1">
      <c r="B49" s="68"/>
      <c r="H49" s="343"/>
      <c r="I49" s="344"/>
      <c r="J49" s="344"/>
      <c r="K49" s="344"/>
      <c r="L49" s="344"/>
      <c r="M49" s="344"/>
      <c r="N49" s="358"/>
      <c r="O49" s="359"/>
      <c r="P49" s="359"/>
      <c r="Q49" s="359"/>
      <c r="R49" s="359"/>
      <c r="S49" s="359"/>
      <c r="T49" s="359"/>
      <c r="U49" s="359"/>
      <c r="V49" s="359"/>
      <c r="W49" s="359"/>
      <c r="X49" s="359"/>
      <c r="Y49" s="359"/>
      <c r="Z49" s="359"/>
      <c r="AA49" s="359"/>
      <c r="AB49" s="359"/>
      <c r="AC49" s="359"/>
      <c r="AD49" s="359"/>
      <c r="AE49" s="359"/>
      <c r="AF49" s="359"/>
      <c r="AG49" s="359"/>
      <c r="AH49" s="359"/>
      <c r="AI49" s="359"/>
      <c r="AJ49" s="359"/>
      <c r="AK49" s="359"/>
      <c r="AL49" s="366"/>
      <c r="AM49" s="366"/>
      <c r="AN49" s="366"/>
      <c r="AO49" s="366"/>
      <c r="AP49" s="366"/>
      <c r="AQ49" s="366"/>
      <c r="AR49" s="367"/>
      <c r="AX49" s="69"/>
    </row>
    <row r="50" spans="2:50" ht="9.75" customHeight="1" thickTop="1">
      <c r="B50" s="68"/>
      <c r="AX50" s="69"/>
    </row>
    <row r="51" spans="2:50" ht="9.75" customHeight="1" thickBot="1">
      <c r="B51" s="68"/>
      <c r="AX51" s="69"/>
    </row>
    <row r="52" spans="2:50" ht="9.75" customHeight="1" thickTop="1" thickBot="1">
      <c r="B52" s="68"/>
      <c r="H52" s="391" t="s">
        <v>62</v>
      </c>
      <c r="I52" s="392"/>
      <c r="J52" s="392"/>
      <c r="K52" s="392"/>
      <c r="L52" s="392"/>
      <c r="M52" s="393"/>
      <c r="N52" s="378" t="s">
        <v>69</v>
      </c>
      <c r="O52" s="378"/>
      <c r="P52" s="378"/>
      <c r="Q52" s="378"/>
      <c r="R52" s="378"/>
      <c r="S52" s="378"/>
      <c r="T52" s="378"/>
      <c r="U52" s="378"/>
      <c r="V52" s="378" t="s">
        <v>70</v>
      </c>
      <c r="W52" s="378"/>
      <c r="X52" s="378"/>
      <c r="Y52" s="378"/>
      <c r="Z52" s="378"/>
      <c r="AA52" s="378" t="s">
        <v>71</v>
      </c>
      <c r="AB52" s="378"/>
      <c r="AC52" s="378"/>
      <c r="AD52" s="378"/>
      <c r="AE52" s="378"/>
      <c r="AF52" s="378"/>
      <c r="AG52" s="378" t="s">
        <v>72</v>
      </c>
      <c r="AH52" s="378"/>
      <c r="AI52" s="378"/>
      <c r="AJ52" s="378"/>
      <c r="AK52" s="378"/>
      <c r="AL52" s="378"/>
      <c r="AM52" s="378"/>
      <c r="AN52" s="378"/>
      <c r="AO52" s="378"/>
      <c r="AP52" s="378"/>
      <c r="AQ52" s="378"/>
      <c r="AR52" s="378"/>
      <c r="AX52" s="69"/>
    </row>
    <row r="53" spans="2:50" ht="9.75" customHeight="1" thickTop="1" thickBot="1">
      <c r="B53" s="68"/>
      <c r="H53" s="391"/>
      <c r="I53" s="392"/>
      <c r="J53" s="392"/>
      <c r="K53" s="392"/>
      <c r="L53" s="392"/>
      <c r="M53" s="393"/>
      <c r="N53" s="379"/>
      <c r="O53" s="379"/>
      <c r="P53" s="379"/>
      <c r="Q53" s="379"/>
      <c r="R53" s="379"/>
      <c r="S53" s="379"/>
      <c r="T53" s="379"/>
      <c r="U53" s="379"/>
      <c r="V53" s="379"/>
      <c r="W53" s="379"/>
      <c r="X53" s="379"/>
      <c r="Y53" s="379"/>
      <c r="Z53" s="379"/>
      <c r="AA53" s="379"/>
      <c r="AB53" s="379"/>
      <c r="AC53" s="379"/>
      <c r="AD53" s="379"/>
      <c r="AE53" s="379"/>
      <c r="AF53" s="379"/>
      <c r="AG53" s="379"/>
      <c r="AH53" s="379"/>
      <c r="AI53" s="379"/>
      <c r="AJ53" s="379"/>
      <c r="AK53" s="379"/>
      <c r="AL53" s="379"/>
      <c r="AM53" s="379"/>
      <c r="AN53" s="379"/>
      <c r="AO53" s="379"/>
      <c r="AP53" s="379"/>
      <c r="AQ53" s="379"/>
      <c r="AR53" s="379"/>
      <c r="AX53" s="69"/>
    </row>
    <row r="54" spans="2:50" ht="9.75" customHeight="1" thickTop="1" thickBot="1">
      <c r="B54" s="68"/>
      <c r="H54" s="391"/>
      <c r="I54" s="392"/>
      <c r="J54" s="392"/>
      <c r="K54" s="392"/>
      <c r="L54" s="392"/>
      <c r="M54" s="393"/>
      <c r="N54" s="322" t="s">
        <v>73</v>
      </c>
      <c r="O54" s="323"/>
      <c r="P54" s="323"/>
      <c r="Q54" s="323"/>
      <c r="R54" s="323"/>
      <c r="S54" s="323"/>
      <c r="T54" s="323"/>
      <c r="U54" s="323"/>
      <c r="V54" s="323"/>
      <c r="W54" s="323"/>
      <c r="X54" s="323"/>
      <c r="Y54" s="323"/>
      <c r="Z54" s="323"/>
      <c r="AA54" s="323"/>
      <c r="AB54" s="323"/>
      <c r="AC54" s="323"/>
      <c r="AD54" s="323"/>
      <c r="AE54" s="323"/>
      <c r="AF54" s="323"/>
      <c r="AG54" s="323"/>
      <c r="AH54" s="323"/>
      <c r="AI54" s="323"/>
      <c r="AJ54" s="323"/>
      <c r="AK54" s="323"/>
      <c r="AL54" s="323"/>
      <c r="AM54" s="323"/>
      <c r="AN54" s="323"/>
      <c r="AO54" s="323"/>
      <c r="AP54" s="323"/>
      <c r="AQ54" s="323"/>
      <c r="AR54" s="324"/>
      <c r="AX54" s="69"/>
    </row>
    <row r="55" spans="2:50" ht="9.75" customHeight="1" thickTop="1" thickBot="1">
      <c r="B55" s="68"/>
      <c r="H55" s="391"/>
      <c r="I55" s="392"/>
      <c r="J55" s="392"/>
      <c r="K55" s="392"/>
      <c r="L55" s="392"/>
      <c r="M55" s="393"/>
      <c r="N55" s="322"/>
      <c r="O55" s="323"/>
      <c r="P55" s="323"/>
      <c r="Q55" s="323"/>
      <c r="R55" s="323"/>
      <c r="S55" s="323"/>
      <c r="T55" s="323"/>
      <c r="U55" s="323"/>
      <c r="V55" s="323"/>
      <c r="W55" s="323"/>
      <c r="X55" s="323"/>
      <c r="Y55" s="323"/>
      <c r="Z55" s="323"/>
      <c r="AA55" s="323"/>
      <c r="AB55" s="323"/>
      <c r="AC55" s="323"/>
      <c r="AD55" s="323"/>
      <c r="AE55" s="323"/>
      <c r="AF55" s="323"/>
      <c r="AG55" s="323"/>
      <c r="AH55" s="323"/>
      <c r="AI55" s="323"/>
      <c r="AJ55" s="323"/>
      <c r="AK55" s="323"/>
      <c r="AL55" s="323"/>
      <c r="AM55" s="323"/>
      <c r="AN55" s="323"/>
      <c r="AO55" s="323"/>
      <c r="AP55" s="323"/>
      <c r="AQ55" s="323"/>
      <c r="AR55" s="324"/>
      <c r="AX55" s="69"/>
    </row>
    <row r="56" spans="2:50" ht="9.75" customHeight="1" thickTop="1" thickBot="1">
      <c r="B56" s="68"/>
      <c r="H56" s="391"/>
      <c r="I56" s="392"/>
      <c r="J56" s="392"/>
      <c r="K56" s="392"/>
      <c r="L56" s="392"/>
      <c r="M56" s="393"/>
      <c r="N56" s="322" t="s">
        <v>73</v>
      </c>
      <c r="O56" s="323"/>
      <c r="P56" s="323"/>
      <c r="Q56" s="323"/>
      <c r="R56" s="323"/>
      <c r="S56" s="323"/>
      <c r="T56" s="323"/>
      <c r="U56" s="323"/>
      <c r="V56" s="323"/>
      <c r="W56" s="323"/>
      <c r="X56" s="323"/>
      <c r="Y56" s="323"/>
      <c r="Z56" s="323"/>
      <c r="AA56" s="323"/>
      <c r="AB56" s="323"/>
      <c r="AC56" s="323"/>
      <c r="AD56" s="323"/>
      <c r="AE56" s="323"/>
      <c r="AF56" s="323"/>
      <c r="AG56" s="323"/>
      <c r="AH56" s="323"/>
      <c r="AI56" s="323"/>
      <c r="AJ56" s="323"/>
      <c r="AK56" s="323"/>
      <c r="AL56" s="323"/>
      <c r="AM56" s="323"/>
      <c r="AN56" s="323"/>
      <c r="AO56" s="323"/>
      <c r="AP56" s="323"/>
      <c r="AQ56" s="323"/>
      <c r="AR56" s="324"/>
      <c r="AX56" s="69"/>
    </row>
    <row r="57" spans="2:50" ht="9.75" customHeight="1" thickTop="1" thickBot="1">
      <c r="B57" s="68"/>
      <c r="H57" s="391"/>
      <c r="I57" s="392"/>
      <c r="J57" s="392"/>
      <c r="K57" s="392"/>
      <c r="L57" s="392"/>
      <c r="M57" s="393"/>
      <c r="N57" s="322"/>
      <c r="O57" s="323"/>
      <c r="P57" s="323"/>
      <c r="Q57" s="323"/>
      <c r="R57" s="323"/>
      <c r="S57" s="323"/>
      <c r="T57" s="323"/>
      <c r="U57" s="323"/>
      <c r="V57" s="323"/>
      <c r="W57" s="323"/>
      <c r="X57" s="323"/>
      <c r="Y57" s="323"/>
      <c r="Z57" s="323"/>
      <c r="AA57" s="323"/>
      <c r="AB57" s="323"/>
      <c r="AC57" s="323"/>
      <c r="AD57" s="323"/>
      <c r="AE57" s="323"/>
      <c r="AF57" s="323"/>
      <c r="AG57" s="323"/>
      <c r="AH57" s="323"/>
      <c r="AI57" s="323"/>
      <c r="AJ57" s="323"/>
      <c r="AK57" s="323"/>
      <c r="AL57" s="323"/>
      <c r="AM57" s="323"/>
      <c r="AN57" s="323"/>
      <c r="AO57" s="323"/>
      <c r="AP57" s="323"/>
      <c r="AQ57" s="323"/>
      <c r="AR57" s="324"/>
      <c r="AX57" s="69"/>
    </row>
    <row r="58" spans="2:50" ht="9.75" customHeight="1" thickTop="1" thickBot="1">
      <c r="B58" s="68"/>
      <c r="H58" s="391"/>
      <c r="I58" s="392"/>
      <c r="J58" s="392"/>
      <c r="K58" s="392"/>
      <c r="L58" s="392"/>
      <c r="M58" s="393"/>
      <c r="N58" s="322" t="s">
        <v>73</v>
      </c>
      <c r="O58" s="323"/>
      <c r="P58" s="323"/>
      <c r="Q58" s="323"/>
      <c r="R58" s="323"/>
      <c r="S58" s="323"/>
      <c r="T58" s="323"/>
      <c r="U58" s="323"/>
      <c r="V58" s="323"/>
      <c r="W58" s="323"/>
      <c r="X58" s="323"/>
      <c r="Y58" s="323"/>
      <c r="Z58" s="323"/>
      <c r="AA58" s="323"/>
      <c r="AB58" s="323"/>
      <c r="AC58" s="323"/>
      <c r="AD58" s="323"/>
      <c r="AE58" s="323"/>
      <c r="AF58" s="323"/>
      <c r="AG58" s="323"/>
      <c r="AH58" s="323"/>
      <c r="AI58" s="323"/>
      <c r="AJ58" s="323"/>
      <c r="AK58" s="323"/>
      <c r="AL58" s="323"/>
      <c r="AM58" s="323"/>
      <c r="AN58" s="323"/>
      <c r="AO58" s="323"/>
      <c r="AP58" s="323"/>
      <c r="AQ58" s="323"/>
      <c r="AR58" s="324"/>
      <c r="AX58" s="69"/>
    </row>
    <row r="59" spans="2:50" ht="9.75" customHeight="1" thickTop="1" thickBot="1">
      <c r="B59" s="68"/>
      <c r="H59" s="394"/>
      <c r="I59" s="395"/>
      <c r="J59" s="395"/>
      <c r="K59" s="395"/>
      <c r="L59" s="395"/>
      <c r="M59" s="396"/>
      <c r="N59" s="322"/>
      <c r="O59" s="323"/>
      <c r="P59" s="323"/>
      <c r="Q59" s="323"/>
      <c r="R59" s="323"/>
      <c r="S59" s="323"/>
      <c r="T59" s="323"/>
      <c r="U59" s="323"/>
      <c r="V59" s="323"/>
      <c r="W59" s="323"/>
      <c r="X59" s="323"/>
      <c r="Y59" s="323"/>
      <c r="Z59" s="323"/>
      <c r="AA59" s="323"/>
      <c r="AB59" s="323"/>
      <c r="AC59" s="323"/>
      <c r="AD59" s="323"/>
      <c r="AE59" s="323"/>
      <c r="AF59" s="323"/>
      <c r="AG59" s="323"/>
      <c r="AH59" s="323"/>
      <c r="AI59" s="323"/>
      <c r="AJ59" s="323"/>
      <c r="AK59" s="323"/>
      <c r="AL59" s="323"/>
      <c r="AM59" s="323"/>
      <c r="AN59" s="323"/>
      <c r="AO59" s="323"/>
      <c r="AP59" s="323"/>
      <c r="AQ59" s="323"/>
      <c r="AR59" s="324"/>
      <c r="AX59" s="69"/>
    </row>
    <row r="60" spans="2:50" ht="9.75" customHeight="1" thickTop="1">
      <c r="B60" s="68"/>
      <c r="H60" s="89"/>
      <c r="I60" s="89"/>
      <c r="J60" s="89"/>
      <c r="K60" s="89"/>
      <c r="L60" s="89"/>
      <c r="M60" s="89"/>
      <c r="N60" s="80"/>
      <c r="O60" s="80"/>
      <c r="P60" s="80"/>
      <c r="Q60" s="80"/>
      <c r="R60" s="80"/>
      <c r="S60" s="80"/>
      <c r="T60" s="80"/>
      <c r="U60" s="80"/>
      <c r="V60" s="80"/>
      <c r="W60" s="80"/>
      <c r="X60" s="80"/>
      <c r="Y60" s="80"/>
      <c r="Z60" s="80"/>
      <c r="AA60" s="80"/>
      <c r="AB60" s="80"/>
      <c r="AC60" s="80"/>
      <c r="AD60" s="80"/>
      <c r="AE60" s="80"/>
      <c r="AF60" s="80"/>
      <c r="AG60" s="80"/>
      <c r="AH60" s="80"/>
      <c r="AI60" s="80"/>
      <c r="AJ60" s="80"/>
      <c r="AK60" s="80"/>
      <c r="AL60" s="80"/>
      <c r="AM60" s="80"/>
      <c r="AN60" s="80"/>
      <c r="AO60" s="80"/>
      <c r="AP60" s="80"/>
      <c r="AQ60" s="80"/>
      <c r="AR60" s="80"/>
      <c r="AX60" s="69"/>
    </row>
    <row r="61" spans="2:50" ht="9.75" customHeight="1" thickBot="1">
      <c r="B61" s="68"/>
      <c r="H61" s="90"/>
      <c r="I61" s="90"/>
      <c r="J61" s="90"/>
      <c r="K61" s="90"/>
      <c r="L61" s="90"/>
      <c r="M61" s="90"/>
      <c r="N61" s="81"/>
      <c r="O61" s="81"/>
      <c r="P61" s="81"/>
      <c r="Q61" s="81"/>
      <c r="R61" s="81"/>
      <c r="S61" s="81"/>
      <c r="T61" s="81"/>
      <c r="U61" s="81"/>
      <c r="V61" s="81"/>
      <c r="W61" s="81"/>
      <c r="X61" s="81"/>
      <c r="Y61" s="81"/>
      <c r="Z61" s="81"/>
      <c r="AA61" s="81"/>
      <c r="AB61" s="81"/>
      <c r="AC61" s="81"/>
      <c r="AD61" s="81"/>
      <c r="AE61" s="81"/>
      <c r="AF61" s="81"/>
      <c r="AG61" s="81"/>
      <c r="AH61" s="81"/>
      <c r="AI61" s="81"/>
      <c r="AJ61" s="81"/>
      <c r="AK61" s="81"/>
      <c r="AL61" s="81"/>
      <c r="AM61" s="81"/>
      <c r="AN61" s="81"/>
      <c r="AO61" s="81"/>
      <c r="AP61" s="81"/>
      <c r="AQ61" s="81"/>
      <c r="AR61" s="81"/>
      <c r="AX61" s="69"/>
    </row>
    <row r="62" spans="2:50" ht="9.75" customHeight="1" thickTop="1" thickBot="1">
      <c r="B62" s="68"/>
      <c r="H62" s="397" t="s">
        <v>63</v>
      </c>
      <c r="I62" s="398"/>
      <c r="J62" s="398"/>
      <c r="K62" s="398"/>
      <c r="L62" s="398"/>
      <c r="M62" s="399"/>
      <c r="N62" s="375" t="str">
        <f>'秘書-input'!B48</f>
        <v>無</v>
      </c>
      <c r="O62" s="364"/>
      <c r="P62" s="364"/>
      <c r="Q62" s="364"/>
      <c r="R62" s="364"/>
      <c r="S62" s="364"/>
      <c r="T62" s="364"/>
      <c r="U62" s="364"/>
      <c r="V62" s="364"/>
      <c r="W62" s="364"/>
      <c r="X62" s="364"/>
      <c r="Y62" s="364"/>
      <c r="Z62" s="364"/>
      <c r="AA62" s="364"/>
      <c r="AB62" s="364"/>
      <c r="AC62" s="364"/>
      <c r="AD62" s="364"/>
      <c r="AE62" s="364"/>
      <c r="AF62" s="364"/>
      <c r="AG62" s="364"/>
      <c r="AH62" s="364"/>
      <c r="AI62" s="364"/>
      <c r="AJ62" s="364"/>
      <c r="AK62" s="364"/>
      <c r="AL62" s="364"/>
      <c r="AM62" s="364"/>
      <c r="AN62" s="364"/>
      <c r="AO62" s="364"/>
      <c r="AP62" s="364"/>
      <c r="AQ62" s="364"/>
      <c r="AR62" s="365"/>
      <c r="AX62" s="69"/>
    </row>
    <row r="63" spans="2:50" ht="9.75" customHeight="1" thickTop="1" thickBot="1">
      <c r="B63" s="68"/>
      <c r="H63" s="397"/>
      <c r="I63" s="398"/>
      <c r="J63" s="398"/>
      <c r="K63" s="398"/>
      <c r="L63" s="398"/>
      <c r="M63" s="399"/>
      <c r="N63" s="376"/>
      <c r="O63" s="329"/>
      <c r="P63" s="329"/>
      <c r="Q63" s="329"/>
      <c r="R63" s="329"/>
      <c r="S63" s="329"/>
      <c r="T63" s="329"/>
      <c r="U63" s="329"/>
      <c r="V63" s="329"/>
      <c r="W63" s="329"/>
      <c r="X63" s="329"/>
      <c r="Y63" s="329"/>
      <c r="Z63" s="329"/>
      <c r="AA63" s="329"/>
      <c r="AB63" s="329"/>
      <c r="AC63" s="329"/>
      <c r="AD63" s="329"/>
      <c r="AE63" s="329"/>
      <c r="AF63" s="329"/>
      <c r="AG63" s="329"/>
      <c r="AH63" s="329"/>
      <c r="AI63" s="329"/>
      <c r="AJ63" s="329"/>
      <c r="AK63" s="329"/>
      <c r="AL63" s="329"/>
      <c r="AM63" s="329"/>
      <c r="AN63" s="329"/>
      <c r="AO63" s="329"/>
      <c r="AP63" s="329"/>
      <c r="AQ63" s="329"/>
      <c r="AR63" s="368"/>
      <c r="AX63" s="69"/>
    </row>
    <row r="64" spans="2:50" ht="9.75" customHeight="1" thickTop="1" thickBot="1">
      <c r="B64" s="68"/>
      <c r="H64" s="397"/>
      <c r="I64" s="398"/>
      <c r="J64" s="398"/>
      <c r="K64" s="398"/>
      <c r="L64" s="398"/>
      <c r="M64" s="399"/>
      <c r="N64" s="376"/>
      <c r="O64" s="329"/>
      <c r="P64" s="329"/>
      <c r="Q64" s="329"/>
      <c r="R64" s="329"/>
      <c r="S64" s="329"/>
      <c r="T64" s="329"/>
      <c r="U64" s="329"/>
      <c r="V64" s="329"/>
      <c r="W64" s="329"/>
      <c r="X64" s="329"/>
      <c r="Y64" s="329"/>
      <c r="Z64" s="329"/>
      <c r="AA64" s="329"/>
      <c r="AB64" s="329"/>
      <c r="AC64" s="329"/>
      <c r="AD64" s="329"/>
      <c r="AE64" s="329"/>
      <c r="AF64" s="329"/>
      <c r="AG64" s="329"/>
      <c r="AH64" s="329"/>
      <c r="AI64" s="329"/>
      <c r="AJ64" s="329"/>
      <c r="AK64" s="329"/>
      <c r="AL64" s="329"/>
      <c r="AM64" s="329"/>
      <c r="AN64" s="329"/>
      <c r="AO64" s="329"/>
      <c r="AP64" s="329"/>
      <c r="AQ64" s="329"/>
      <c r="AR64" s="368"/>
      <c r="AX64" s="69"/>
    </row>
    <row r="65" spans="2:50" ht="9.75" customHeight="1" thickTop="1" thickBot="1">
      <c r="B65" s="68"/>
      <c r="H65" s="397"/>
      <c r="I65" s="398"/>
      <c r="J65" s="398"/>
      <c r="K65" s="398"/>
      <c r="L65" s="398"/>
      <c r="M65" s="399"/>
      <c r="N65" s="376"/>
      <c r="O65" s="329"/>
      <c r="P65" s="329"/>
      <c r="Q65" s="329"/>
      <c r="R65" s="329"/>
      <c r="S65" s="329"/>
      <c r="T65" s="329"/>
      <c r="U65" s="329"/>
      <c r="V65" s="329"/>
      <c r="W65" s="329"/>
      <c r="X65" s="329"/>
      <c r="Y65" s="329"/>
      <c r="Z65" s="329"/>
      <c r="AA65" s="329"/>
      <c r="AB65" s="329"/>
      <c r="AC65" s="329"/>
      <c r="AD65" s="329"/>
      <c r="AE65" s="329"/>
      <c r="AF65" s="329"/>
      <c r="AG65" s="329"/>
      <c r="AH65" s="329"/>
      <c r="AI65" s="329"/>
      <c r="AJ65" s="329"/>
      <c r="AK65" s="329"/>
      <c r="AL65" s="329"/>
      <c r="AM65" s="329"/>
      <c r="AN65" s="329"/>
      <c r="AO65" s="329"/>
      <c r="AP65" s="329"/>
      <c r="AQ65" s="329"/>
      <c r="AR65" s="368"/>
      <c r="AX65" s="69"/>
    </row>
    <row r="66" spans="2:50" ht="9.75" customHeight="1" thickTop="1" thickBot="1">
      <c r="B66" s="68"/>
      <c r="H66" s="397"/>
      <c r="I66" s="398"/>
      <c r="J66" s="398"/>
      <c r="K66" s="398"/>
      <c r="L66" s="398"/>
      <c r="M66" s="399"/>
      <c r="N66" s="377"/>
      <c r="O66" s="366"/>
      <c r="P66" s="366"/>
      <c r="Q66" s="366"/>
      <c r="R66" s="366"/>
      <c r="S66" s="366"/>
      <c r="T66" s="366"/>
      <c r="U66" s="366"/>
      <c r="V66" s="366"/>
      <c r="W66" s="366"/>
      <c r="X66" s="366"/>
      <c r="Y66" s="366"/>
      <c r="Z66" s="366"/>
      <c r="AA66" s="366"/>
      <c r="AB66" s="366"/>
      <c r="AC66" s="366"/>
      <c r="AD66" s="366"/>
      <c r="AE66" s="366"/>
      <c r="AF66" s="366"/>
      <c r="AG66" s="366"/>
      <c r="AH66" s="366"/>
      <c r="AI66" s="366"/>
      <c r="AJ66" s="366"/>
      <c r="AK66" s="366"/>
      <c r="AL66" s="366"/>
      <c r="AM66" s="366"/>
      <c r="AN66" s="366"/>
      <c r="AO66" s="366"/>
      <c r="AP66" s="366"/>
      <c r="AQ66" s="366"/>
      <c r="AR66" s="367"/>
      <c r="AX66" s="69"/>
    </row>
    <row r="67" spans="2:50" ht="9.75" customHeight="1" thickTop="1">
      <c r="B67" s="68"/>
      <c r="AX67" s="69"/>
    </row>
    <row r="68" spans="2:50" ht="9.75" customHeight="1">
      <c r="B68" s="102" t="s">
        <v>163</v>
      </c>
      <c r="C68" s="400" t="s">
        <v>164</v>
      </c>
      <c r="D68" s="400"/>
      <c r="E68" s="400"/>
      <c r="F68" s="400"/>
      <c r="G68" s="400"/>
      <c r="H68" s="400"/>
      <c r="I68" s="400"/>
      <c r="J68" s="400"/>
      <c r="K68" s="400"/>
      <c r="L68" s="400"/>
      <c r="M68" s="400"/>
      <c r="N68" s="400"/>
      <c r="O68" s="400"/>
      <c r="P68" s="400"/>
      <c r="Q68" s="400"/>
      <c r="R68" s="400"/>
      <c r="S68" s="400"/>
      <c r="T68" s="400"/>
      <c r="U68" s="400"/>
      <c r="V68" s="400"/>
      <c r="W68" s="400"/>
      <c r="X68" s="400"/>
      <c r="Y68" s="400"/>
      <c r="Z68" s="400"/>
      <c r="AA68" s="400"/>
      <c r="AB68" s="400"/>
      <c r="AC68" s="400"/>
      <c r="AD68" s="400"/>
      <c r="AE68" s="400"/>
      <c r="AF68" s="400"/>
      <c r="AG68" s="400"/>
      <c r="AH68" s="400"/>
      <c r="AI68" s="400"/>
      <c r="AJ68" s="400"/>
      <c r="AK68" s="400"/>
      <c r="AL68" s="400"/>
      <c r="AM68" s="400"/>
      <c r="AN68" s="400"/>
      <c r="AO68" s="400"/>
      <c r="AP68" s="400"/>
      <c r="AQ68" s="400"/>
      <c r="AR68" s="400"/>
      <c r="AS68" s="400"/>
      <c r="AT68" s="400"/>
      <c r="AU68" s="400"/>
      <c r="AV68" s="400"/>
      <c r="AW68" s="400"/>
      <c r="AX68" s="401"/>
    </row>
    <row r="69" spans="2:50" ht="9.75" customHeight="1">
      <c r="B69" s="102"/>
      <c r="C69" s="400"/>
      <c r="D69" s="400"/>
      <c r="E69" s="400"/>
      <c r="F69" s="400"/>
      <c r="G69" s="400"/>
      <c r="H69" s="400"/>
      <c r="I69" s="400"/>
      <c r="J69" s="400"/>
      <c r="K69" s="400"/>
      <c r="L69" s="400"/>
      <c r="M69" s="400"/>
      <c r="N69" s="400"/>
      <c r="O69" s="400"/>
      <c r="P69" s="400"/>
      <c r="Q69" s="400"/>
      <c r="R69" s="400"/>
      <c r="S69" s="400"/>
      <c r="T69" s="400"/>
      <c r="U69" s="400"/>
      <c r="V69" s="400"/>
      <c r="W69" s="400"/>
      <c r="X69" s="400"/>
      <c r="Y69" s="400"/>
      <c r="Z69" s="400"/>
      <c r="AA69" s="400"/>
      <c r="AB69" s="400"/>
      <c r="AC69" s="400"/>
      <c r="AD69" s="400"/>
      <c r="AE69" s="400"/>
      <c r="AF69" s="400"/>
      <c r="AG69" s="400"/>
      <c r="AH69" s="400"/>
      <c r="AI69" s="400"/>
      <c r="AJ69" s="400"/>
      <c r="AK69" s="400"/>
      <c r="AL69" s="400"/>
      <c r="AM69" s="400"/>
      <c r="AN69" s="400"/>
      <c r="AO69" s="400"/>
      <c r="AP69" s="400"/>
      <c r="AQ69" s="400"/>
      <c r="AR69" s="400"/>
      <c r="AS69" s="400"/>
      <c r="AT69" s="400"/>
      <c r="AU69" s="400"/>
      <c r="AV69" s="400"/>
      <c r="AW69" s="400"/>
      <c r="AX69" s="401"/>
    </row>
    <row r="70" spans="2:50" ht="9.75" customHeight="1">
      <c r="B70" s="102"/>
      <c r="C70" s="400"/>
      <c r="D70" s="400"/>
      <c r="E70" s="400"/>
      <c r="F70" s="400"/>
      <c r="G70" s="400"/>
      <c r="H70" s="400"/>
      <c r="I70" s="400"/>
      <c r="J70" s="400"/>
      <c r="K70" s="400"/>
      <c r="L70" s="400"/>
      <c r="M70" s="400"/>
      <c r="N70" s="400"/>
      <c r="O70" s="400"/>
      <c r="P70" s="400"/>
      <c r="Q70" s="400"/>
      <c r="R70" s="400"/>
      <c r="S70" s="400"/>
      <c r="T70" s="400"/>
      <c r="U70" s="400"/>
      <c r="V70" s="400"/>
      <c r="W70" s="400"/>
      <c r="X70" s="400"/>
      <c r="Y70" s="400"/>
      <c r="Z70" s="400"/>
      <c r="AA70" s="400"/>
      <c r="AB70" s="400"/>
      <c r="AC70" s="400"/>
      <c r="AD70" s="400"/>
      <c r="AE70" s="400"/>
      <c r="AF70" s="400"/>
      <c r="AG70" s="400"/>
      <c r="AH70" s="400"/>
      <c r="AI70" s="400"/>
      <c r="AJ70" s="400"/>
      <c r="AK70" s="400"/>
      <c r="AL70" s="400"/>
      <c r="AM70" s="400"/>
      <c r="AN70" s="400"/>
      <c r="AO70" s="400"/>
      <c r="AP70" s="400"/>
      <c r="AQ70" s="400"/>
      <c r="AR70" s="400"/>
      <c r="AS70" s="400"/>
      <c r="AT70" s="400"/>
      <c r="AU70" s="400"/>
      <c r="AV70" s="400"/>
      <c r="AW70" s="400"/>
      <c r="AX70" s="401"/>
    </row>
    <row r="71" spans="2:50" ht="9.75" customHeight="1">
      <c r="B71" s="102"/>
      <c r="C71" s="400"/>
      <c r="D71" s="400"/>
      <c r="E71" s="400"/>
      <c r="F71" s="400"/>
      <c r="G71" s="400"/>
      <c r="H71" s="400"/>
      <c r="I71" s="400"/>
      <c r="J71" s="400"/>
      <c r="K71" s="400"/>
      <c r="L71" s="400"/>
      <c r="M71" s="400"/>
      <c r="N71" s="400"/>
      <c r="O71" s="400"/>
      <c r="P71" s="400"/>
      <c r="Q71" s="400"/>
      <c r="R71" s="400"/>
      <c r="S71" s="400"/>
      <c r="T71" s="400"/>
      <c r="U71" s="400"/>
      <c r="V71" s="400"/>
      <c r="W71" s="400"/>
      <c r="X71" s="400"/>
      <c r="Y71" s="400"/>
      <c r="Z71" s="400"/>
      <c r="AA71" s="400"/>
      <c r="AB71" s="400"/>
      <c r="AC71" s="400"/>
      <c r="AD71" s="400"/>
      <c r="AE71" s="400"/>
      <c r="AF71" s="400"/>
      <c r="AG71" s="400"/>
      <c r="AH71" s="400"/>
      <c r="AI71" s="400"/>
      <c r="AJ71" s="400"/>
      <c r="AK71" s="400"/>
      <c r="AL71" s="400"/>
      <c r="AM71" s="400"/>
      <c r="AN71" s="400"/>
      <c r="AO71" s="400"/>
      <c r="AP71" s="400"/>
      <c r="AQ71" s="400"/>
      <c r="AR71" s="400"/>
      <c r="AS71" s="400"/>
      <c r="AT71" s="400"/>
      <c r="AU71" s="400"/>
      <c r="AV71" s="400"/>
      <c r="AW71" s="400"/>
      <c r="AX71" s="401"/>
    </row>
    <row r="72" spans="2:50" ht="9.75" customHeight="1">
      <c r="B72" s="102"/>
      <c r="C72" s="388" t="s">
        <v>165</v>
      </c>
      <c r="D72" s="333"/>
      <c r="E72" s="333"/>
      <c r="F72" s="333"/>
      <c r="G72" s="333"/>
      <c r="H72" s="333"/>
      <c r="I72" s="333"/>
      <c r="J72" s="333"/>
      <c r="K72" s="333"/>
      <c r="L72" s="333"/>
      <c r="M72" s="333"/>
      <c r="N72" s="333"/>
      <c r="O72" s="333"/>
      <c r="P72" s="333"/>
      <c r="Q72" s="333"/>
      <c r="R72" s="333"/>
      <c r="S72" s="333"/>
      <c r="T72" s="333"/>
      <c r="U72" s="333"/>
      <c r="V72" s="333"/>
      <c r="W72" s="333"/>
      <c r="X72" s="333"/>
      <c r="Y72" s="333"/>
      <c r="Z72" s="333"/>
      <c r="AA72" s="333"/>
      <c r="AB72" s="333"/>
      <c r="AC72" s="333"/>
      <c r="AD72" s="333"/>
      <c r="AE72" s="333"/>
      <c r="AF72" s="333"/>
      <c r="AG72" s="333"/>
      <c r="AH72" s="333"/>
      <c r="AI72" s="333"/>
      <c r="AJ72" s="333"/>
      <c r="AK72" s="333"/>
      <c r="AL72" s="333"/>
      <c r="AM72" s="333"/>
      <c r="AN72" s="333"/>
      <c r="AO72" s="333"/>
      <c r="AP72" s="333"/>
      <c r="AQ72" s="333"/>
      <c r="AR72" s="333"/>
      <c r="AS72" s="333"/>
      <c r="AT72" s="333"/>
      <c r="AU72" s="333"/>
      <c r="AV72" s="333"/>
      <c r="AW72" s="333"/>
      <c r="AX72" s="389"/>
    </row>
    <row r="73" spans="2:50" ht="9.75" customHeight="1">
      <c r="B73" s="102" t="s">
        <v>166</v>
      </c>
      <c r="C73" s="333"/>
      <c r="D73" s="333"/>
      <c r="E73" s="333"/>
      <c r="F73" s="333"/>
      <c r="G73" s="333"/>
      <c r="H73" s="333"/>
      <c r="I73" s="333"/>
      <c r="J73" s="333"/>
      <c r="K73" s="333"/>
      <c r="L73" s="333"/>
      <c r="M73" s="333"/>
      <c r="N73" s="333"/>
      <c r="O73" s="333"/>
      <c r="P73" s="333"/>
      <c r="Q73" s="333"/>
      <c r="R73" s="333"/>
      <c r="S73" s="333"/>
      <c r="T73" s="333"/>
      <c r="U73" s="333"/>
      <c r="V73" s="333"/>
      <c r="W73" s="333"/>
      <c r="X73" s="333"/>
      <c r="Y73" s="333"/>
      <c r="Z73" s="333"/>
      <c r="AA73" s="333"/>
      <c r="AB73" s="333"/>
      <c r="AC73" s="333"/>
      <c r="AD73" s="333"/>
      <c r="AE73" s="333"/>
      <c r="AF73" s="333"/>
      <c r="AG73" s="333"/>
      <c r="AH73" s="333"/>
      <c r="AI73" s="333"/>
      <c r="AJ73" s="333"/>
      <c r="AK73" s="333"/>
      <c r="AL73" s="333"/>
      <c r="AM73" s="333"/>
      <c r="AN73" s="333"/>
      <c r="AO73" s="333"/>
      <c r="AP73" s="333"/>
      <c r="AQ73" s="333"/>
      <c r="AR73" s="333"/>
      <c r="AS73" s="333"/>
      <c r="AT73" s="333"/>
      <c r="AU73" s="333"/>
      <c r="AV73" s="333"/>
      <c r="AW73" s="333"/>
      <c r="AX73" s="389"/>
    </row>
    <row r="74" spans="2:50" ht="9.75" customHeight="1">
      <c r="B74" s="102"/>
      <c r="C74" s="333"/>
      <c r="D74" s="333"/>
      <c r="E74" s="333"/>
      <c r="F74" s="333"/>
      <c r="G74" s="333"/>
      <c r="H74" s="333"/>
      <c r="I74" s="333"/>
      <c r="J74" s="333"/>
      <c r="K74" s="333"/>
      <c r="L74" s="333"/>
      <c r="M74" s="333"/>
      <c r="N74" s="333"/>
      <c r="O74" s="333"/>
      <c r="P74" s="333"/>
      <c r="Q74" s="333"/>
      <c r="R74" s="333"/>
      <c r="S74" s="333"/>
      <c r="T74" s="333"/>
      <c r="U74" s="333"/>
      <c r="V74" s="333"/>
      <c r="W74" s="333"/>
      <c r="X74" s="333"/>
      <c r="Y74" s="333"/>
      <c r="Z74" s="333"/>
      <c r="AA74" s="333"/>
      <c r="AB74" s="333"/>
      <c r="AC74" s="333"/>
      <c r="AD74" s="333"/>
      <c r="AE74" s="333"/>
      <c r="AF74" s="333"/>
      <c r="AG74" s="333"/>
      <c r="AH74" s="333"/>
      <c r="AI74" s="333"/>
      <c r="AJ74" s="333"/>
      <c r="AK74" s="333"/>
      <c r="AL74" s="333"/>
      <c r="AM74" s="333"/>
      <c r="AN74" s="333"/>
      <c r="AO74" s="333"/>
      <c r="AP74" s="333"/>
      <c r="AQ74" s="333"/>
      <c r="AR74" s="333"/>
      <c r="AS74" s="333"/>
      <c r="AT74" s="333"/>
      <c r="AU74" s="333"/>
      <c r="AV74" s="333"/>
      <c r="AW74" s="333"/>
      <c r="AX74" s="389"/>
    </row>
    <row r="75" spans="2:50" ht="9.75" customHeight="1">
      <c r="B75" s="102"/>
      <c r="C75" s="103"/>
      <c r="D75" s="103"/>
      <c r="E75" s="103"/>
      <c r="F75" s="103"/>
      <c r="G75" s="103"/>
      <c r="H75" s="103"/>
      <c r="I75" s="103"/>
      <c r="J75" s="103"/>
      <c r="K75" s="103"/>
      <c r="L75" s="103"/>
      <c r="M75" s="103"/>
      <c r="N75" s="103"/>
      <c r="O75" s="103"/>
      <c r="P75" s="103"/>
      <c r="Q75" s="103"/>
      <c r="R75" s="103"/>
      <c r="S75" s="103"/>
      <c r="T75" s="103"/>
      <c r="U75" s="103"/>
      <c r="V75" s="103"/>
      <c r="W75" s="103"/>
      <c r="X75" s="103"/>
      <c r="Y75" s="103"/>
      <c r="Z75" s="103"/>
      <c r="AA75" s="103"/>
      <c r="AB75" s="103"/>
      <c r="AC75" s="103"/>
      <c r="AD75" s="103"/>
      <c r="AE75" s="103"/>
      <c r="AF75" s="103"/>
      <c r="AG75" s="103"/>
      <c r="AH75" s="103"/>
      <c r="AI75" s="103"/>
      <c r="AJ75" s="103"/>
      <c r="AK75" s="103"/>
      <c r="AL75" s="103"/>
      <c r="AM75" s="103"/>
      <c r="AN75" s="103"/>
      <c r="AO75" s="103"/>
      <c r="AP75" s="103"/>
      <c r="AQ75" s="103"/>
      <c r="AR75" s="103"/>
      <c r="AS75" s="103"/>
      <c r="AT75" s="103"/>
      <c r="AU75" s="103"/>
      <c r="AV75" s="103"/>
      <c r="AW75" s="103"/>
      <c r="AX75" s="104"/>
    </row>
    <row r="76" spans="2:50" ht="9.75" customHeight="1" thickBot="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06"/>
      <c r="AO76" s="106"/>
      <c r="AP76" s="106"/>
      <c r="AQ76" s="106"/>
      <c r="AR76" s="106"/>
      <c r="AS76" s="106"/>
      <c r="AT76" s="106"/>
      <c r="AU76" s="106"/>
      <c r="AV76" s="106"/>
      <c r="AW76" s="106"/>
      <c r="AX76" s="107"/>
    </row>
    <row r="77" spans="2:50" ht="9.75" customHeight="1" thickTop="1"/>
  </sheetData>
  <mergeCells count="82">
    <mergeCell ref="C68:AX71"/>
    <mergeCell ref="AH40:AM41"/>
    <mergeCell ref="AP36:AR37"/>
    <mergeCell ref="N30:R31"/>
    <mergeCell ref="N32:R33"/>
    <mergeCell ref="N36:R37"/>
    <mergeCell ref="S36:Y37"/>
    <mergeCell ref="Z34:AH35"/>
    <mergeCell ref="Z32:AH33"/>
    <mergeCell ref="S34:Y35"/>
    <mergeCell ref="C72:AX74"/>
    <mergeCell ref="Z36:AH37"/>
    <mergeCell ref="AI36:AO37"/>
    <mergeCell ref="H52:M59"/>
    <mergeCell ref="H62:M66"/>
    <mergeCell ref="Z46:AG47"/>
    <mergeCell ref="AH46:AR47"/>
    <mergeCell ref="AH42:AM43"/>
    <mergeCell ref="AH44:AM45"/>
    <mergeCell ref="Z40:AG41"/>
    <mergeCell ref="N34:R35"/>
    <mergeCell ref="S30:Y31"/>
    <mergeCell ref="S22:Y23"/>
    <mergeCell ref="S28:Y29"/>
    <mergeCell ref="Z30:AH31"/>
    <mergeCell ref="Z28:AH29"/>
    <mergeCell ref="Z22:AH23"/>
    <mergeCell ref="S24:Y25"/>
    <mergeCell ref="S26:Y27"/>
    <mergeCell ref="Z24:AH25"/>
    <mergeCell ref="N26:R27"/>
    <mergeCell ref="S32:Y33"/>
    <mergeCell ref="AP24:AR25"/>
    <mergeCell ref="AI24:AO25"/>
    <mergeCell ref="N28:R29"/>
    <mergeCell ref="AI28:AO29"/>
    <mergeCell ref="AP28:AR29"/>
    <mergeCell ref="H8:S11"/>
    <mergeCell ref="AP26:AR27"/>
    <mergeCell ref="H20:M37"/>
    <mergeCell ref="AI30:AO31"/>
    <mergeCell ref="AP30:AR31"/>
    <mergeCell ref="AI32:AO33"/>
    <mergeCell ref="AP32:AR33"/>
    <mergeCell ref="S20:AR21"/>
    <mergeCell ref="AP22:AR23"/>
    <mergeCell ref="N20:R21"/>
    <mergeCell ref="N62:AR66"/>
    <mergeCell ref="AL48:AR49"/>
    <mergeCell ref="N52:U53"/>
    <mergeCell ref="V52:Z53"/>
    <mergeCell ref="AA52:AF53"/>
    <mergeCell ref="AG52:AR53"/>
    <mergeCell ref="N48:AK49"/>
    <mergeCell ref="N58:AR59"/>
    <mergeCell ref="N56:AR57"/>
    <mergeCell ref="U40:Y41"/>
    <mergeCell ref="U42:Y43"/>
    <mergeCell ref="U44:Y45"/>
    <mergeCell ref="U46:Y47"/>
    <mergeCell ref="N44:T45"/>
    <mergeCell ref="N42:T43"/>
    <mergeCell ref="N40:T41"/>
    <mergeCell ref="N46:T47"/>
    <mergeCell ref="AL14:AR17"/>
    <mergeCell ref="Z42:AG43"/>
    <mergeCell ref="Z44:AG45"/>
    <mergeCell ref="AN42:AR43"/>
    <mergeCell ref="AN44:AR45"/>
    <mergeCell ref="AI22:AO23"/>
    <mergeCell ref="Z26:AH27"/>
    <mergeCell ref="AN40:AR41"/>
    <mergeCell ref="N22:R23"/>
    <mergeCell ref="N24:R25"/>
    <mergeCell ref="H14:M17"/>
    <mergeCell ref="N54:AR55"/>
    <mergeCell ref="H40:M49"/>
    <mergeCell ref="AI34:AO35"/>
    <mergeCell ref="AP34:AR35"/>
    <mergeCell ref="AI26:AO27"/>
    <mergeCell ref="N14:U17"/>
    <mergeCell ref="V14:AK17"/>
  </mergeCells>
  <phoneticPr fontId="2" type="noConversion"/>
  <pageMargins left="0.94488188976377963" right="0.35433070866141736" top="0.78740157480314965" bottom="0.78740157480314965" header="0.51181102362204722" footer="0.51181102362204722"/>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X97"/>
  <sheetViews>
    <sheetView topLeftCell="A13" workbookViewId="0">
      <selection activeCell="T67" sqref="T67:Z68"/>
    </sheetView>
  </sheetViews>
  <sheetFormatPr defaultColWidth="1.625" defaultRowHeight="9.75" customHeight="1"/>
  <cols>
    <col min="1" max="16384" width="1.625" style="67"/>
  </cols>
  <sheetData>
    <row r="1" spans="2:50" ht="9.75" customHeight="1" thickBot="1"/>
    <row r="2" spans="2:50" ht="9.75" customHeight="1" thickTop="1">
      <c r="B2" s="163"/>
      <c r="C2" s="164"/>
      <c r="D2" s="164"/>
      <c r="E2" s="164"/>
      <c r="F2" s="164"/>
      <c r="G2" s="164"/>
      <c r="H2" s="164"/>
      <c r="I2" s="164"/>
      <c r="J2" s="164"/>
      <c r="K2" s="164"/>
      <c r="L2" s="164"/>
      <c r="M2" s="164"/>
      <c r="N2" s="164"/>
      <c r="O2" s="164"/>
      <c r="P2" s="164"/>
      <c r="Q2" s="164"/>
      <c r="R2" s="164"/>
      <c r="S2" s="164"/>
      <c r="T2" s="164"/>
      <c r="U2" s="164"/>
      <c r="V2" s="164"/>
      <c r="W2" s="164"/>
      <c r="X2" s="164"/>
      <c r="Y2" s="164"/>
      <c r="Z2" s="164"/>
      <c r="AA2" s="164"/>
      <c r="AB2" s="164"/>
      <c r="AC2" s="164"/>
      <c r="AD2" s="164"/>
      <c r="AE2" s="164"/>
      <c r="AF2" s="164"/>
      <c r="AG2" s="164"/>
      <c r="AH2" s="164"/>
      <c r="AI2" s="164"/>
      <c r="AJ2" s="164"/>
      <c r="AK2" s="164"/>
      <c r="AL2" s="164"/>
      <c r="AM2" s="164"/>
      <c r="AN2" s="164"/>
      <c r="AO2" s="164"/>
      <c r="AP2" s="164"/>
      <c r="AQ2" s="164"/>
      <c r="AR2" s="164"/>
      <c r="AS2" s="164"/>
      <c r="AT2" s="164"/>
      <c r="AU2" s="164"/>
      <c r="AV2" s="164"/>
      <c r="AW2" s="164"/>
      <c r="AX2" s="165"/>
    </row>
    <row r="3" spans="2:50" ht="9.75" customHeight="1">
      <c r="B3" s="166"/>
      <c r="C3" s="167"/>
      <c r="D3" s="167"/>
      <c r="E3" s="167"/>
      <c r="F3" s="167"/>
      <c r="G3" s="167"/>
      <c r="H3" s="167"/>
      <c r="I3" s="167"/>
      <c r="J3" s="167"/>
      <c r="K3" s="167"/>
      <c r="L3" s="167"/>
      <c r="M3" s="167"/>
      <c r="N3" s="167"/>
      <c r="O3" s="167"/>
      <c r="P3" s="167"/>
      <c r="Q3" s="167"/>
      <c r="R3" s="167"/>
      <c r="S3" s="167"/>
      <c r="T3" s="167"/>
      <c r="U3" s="167"/>
      <c r="V3" s="167"/>
      <c r="W3" s="167"/>
      <c r="X3" s="167"/>
      <c r="Y3" s="167"/>
      <c r="Z3" s="167"/>
      <c r="AA3" s="167"/>
      <c r="AB3" s="167"/>
      <c r="AC3" s="167"/>
      <c r="AD3" s="167"/>
      <c r="AE3" s="167"/>
      <c r="AF3" s="167"/>
      <c r="AG3" s="167"/>
      <c r="AH3" s="167"/>
      <c r="AI3" s="167"/>
      <c r="AJ3" s="167"/>
      <c r="AK3" s="167"/>
      <c r="AL3" s="167"/>
      <c r="AM3" s="167"/>
      <c r="AN3" s="167"/>
      <c r="AO3" s="167"/>
      <c r="AP3" s="167"/>
      <c r="AQ3" s="167"/>
      <c r="AR3" s="167"/>
      <c r="AS3" s="167"/>
      <c r="AT3" s="167"/>
      <c r="AU3" s="167"/>
      <c r="AV3" s="167"/>
      <c r="AW3" s="167"/>
      <c r="AX3" s="168"/>
    </row>
    <row r="4" spans="2:50" ht="9.75" customHeight="1">
      <c r="B4" s="166"/>
      <c r="C4" s="167"/>
      <c r="D4" s="167"/>
      <c r="E4" s="167"/>
      <c r="F4" s="167"/>
      <c r="G4" s="167"/>
      <c r="H4" s="167"/>
      <c r="I4" s="167"/>
      <c r="J4" s="167"/>
      <c r="K4" s="167"/>
      <c r="L4" s="167"/>
      <c r="M4" s="167"/>
      <c r="N4" s="167"/>
      <c r="O4" s="167"/>
      <c r="P4" s="167"/>
      <c r="Q4" s="167"/>
      <c r="R4" s="167"/>
      <c r="S4" s="167"/>
      <c r="T4" s="167"/>
      <c r="U4" s="167"/>
      <c r="V4" s="167"/>
      <c r="W4" s="167"/>
      <c r="X4" s="167"/>
      <c r="Y4" s="167"/>
      <c r="Z4" s="167"/>
      <c r="AA4" s="167"/>
      <c r="AB4" s="167"/>
      <c r="AC4" s="167"/>
      <c r="AD4" s="167"/>
      <c r="AE4" s="167"/>
      <c r="AF4" s="167"/>
      <c r="AG4" s="167"/>
      <c r="AH4" s="167"/>
      <c r="AI4" s="167"/>
      <c r="AJ4" s="167"/>
      <c r="AK4" s="167"/>
      <c r="AL4" s="167"/>
      <c r="AM4" s="167"/>
      <c r="AN4" s="167"/>
      <c r="AO4" s="167"/>
      <c r="AP4" s="167"/>
      <c r="AQ4" s="167"/>
      <c r="AR4" s="167"/>
      <c r="AS4" s="167"/>
      <c r="AT4" s="167"/>
      <c r="AU4" s="167"/>
      <c r="AV4" s="167"/>
      <c r="AW4" s="167"/>
      <c r="AX4" s="168"/>
    </row>
    <row r="5" spans="2:50" ht="9.75" customHeight="1">
      <c r="B5" s="166"/>
      <c r="C5" s="167"/>
      <c r="D5" s="167"/>
      <c r="E5" s="167"/>
      <c r="F5" s="167"/>
      <c r="G5" s="167"/>
      <c r="H5" s="447" t="s">
        <v>322</v>
      </c>
      <c r="I5" s="447"/>
      <c r="J5" s="447"/>
      <c r="K5" s="447"/>
      <c r="L5" s="447"/>
      <c r="M5" s="447"/>
      <c r="N5" s="447"/>
      <c r="O5" s="447"/>
      <c r="P5" s="447"/>
      <c r="Q5" s="447"/>
      <c r="R5" s="447"/>
      <c r="S5" s="447"/>
      <c r="T5" s="167"/>
      <c r="U5" s="167"/>
      <c r="V5" s="167"/>
      <c r="W5" s="167"/>
      <c r="X5" s="167"/>
      <c r="Y5" s="167"/>
      <c r="Z5" s="167"/>
      <c r="AA5" s="167"/>
      <c r="AB5" s="167"/>
      <c r="AC5" s="167"/>
      <c r="AD5" s="167"/>
      <c r="AE5" s="167"/>
      <c r="AF5" s="167"/>
      <c r="AG5" s="167"/>
      <c r="AH5" s="167"/>
      <c r="AI5" s="167"/>
      <c r="AJ5" s="167"/>
      <c r="AK5" s="167"/>
      <c r="AL5" s="167"/>
      <c r="AM5" s="167"/>
      <c r="AN5" s="167"/>
      <c r="AO5" s="167"/>
      <c r="AP5" s="167"/>
      <c r="AQ5" s="167"/>
      <c r="AR5" s="167"/>
      <c r="AS5" s="167"/>
      <c r="AT5" s="167"/>
      <c r="AU5" s="167"/>
      <c r="AV5" s="167"/>
      <c r="AW5" s="167"/>
      <c r="AX5" s="168"/>
    </row>
    <row r="6" spans="2:50" ht="9.75" customHeight="1" thickBot="1">
      <c r="B6" s="166"/>
      <c r="C6" s="167"/>
      <c r="D6" s="167"/>
      <c r="E6" s="167"/>
      <c r="F6" s="167"/>
      <c r="G6" s="167"/>
      <c r="H6" s="448"/>
      <c r="I6" s="448"/>
      <c r="J6" s="448"/>
      <c r="K6" s="448"/>
      <c r="L6" s="448"/>
      <c r="M6" s="448"/>
      <c r="N6" s="448"/>
      <c r="O6" s="448"/>
      <c r="P6" s="448"/>
      <c r="Q6" s="448"/>
      <c r="R6" s="448"/>
      <c r="S6" s="448"/>
      <c r="T6" s="167"/>
      <c r="U6" s="167"/>
      <c r="V6" s="167"/>
      <c r="W6" s="167"/>
      <c r="X6" s="167"/>
      <c r="Y6" s="167"/>
      <c r="Z6" s="167"/>
      <c r="AA6" s="167"/>
      <c r="AB6" s="167"/>
      <c r="AC6" s="167"/>
      <c r="AD6" s="167"/>
      <c r="AE6" s="167"/>
      <c r="AF6" s="167"/>
      <c r="AG6" s="167"/>
      <c r="AH6" s="167"/>
      <c r="AI6" s="167"/>
      <c r="AJ6" s="167"/>
      <c r="AK6" s="167"/>
      <c r="AL6" s="167"/>
      <c r="AM6" s="167"/>
      <c r="AN6" s="167"/>
      <c r="AO6" s="167"/>
      <c r="AP6" s="167"/>
      <c r="AQ6" s="167"/>
      <c r="AR6" s="167"/>
      <c r="AS6" s="167"/>
      <c r="AT6" s="167"/>
      <c r="AU6" s="167"/>
      <c r="AV6" s="167"/>
      <c r="AW6" s="167"/>
      <c r="AX6" s="168"/>
    </row>
    <row r="7" spans="2:50" ht="9.75" customHeight="1" thickTop="1">
      <c r="B7" s="166"/>
      <c r="C7" s="167"/>
      <c r="D7" s="167"/>
      <c r="E7" s="167"/>
      <c r="F7" s="167"/>
      <c r="G7" s="167"/>
      <c r="H7" s="438" t="s">
        <v>323</v>
      </c>
      <c r="I7" s="439"/>
      <c r="J7" s="439"/>
      <c r="K7" s="439"/>
      <c r="L7" s="439"/>
      <c r="M7" s="439"/>
      <c r="N7" s="439"/>
      <c r="O7" s="439"/>
      <c r="P7" s="439"/>
      <c r="Q7" s="439"/>
      <c r="R7" s="439"/>
      <c r="S7" s="439"/>
      <c r="T7" s="439" t="str">
        <f>'秘書-input'!B3</f>
        <v>台北市萬華區</v>
      </c>
      <c r="U7" s="449"/>
      <c r="V7" s="449"/>
      <c r="W7" s="449"/>
      <c r="X7" s="449"/>
      <c r="Y7" s="449"/>
      <c r="Z7" s="449"/>
      <c r="AA7" s="449"/>
      <c r="AB7" s="449"/>
      <c r="AC7" s="439" t="str">
        <f>'秘書-input'!C30</f>
        <v>漢中段一小段776地號</v>
      </c>
      <c r="AD7" s="449"/>
      <c r="AE7" s="449"/>
      <c r="AF7" s="449"/>
      <c r="AG7" s="449"/>
      <c r="AH7" s="449"/>
      <c r="AI7" s="449"/>
      <c r="AJ7" s="449"/>
      <c r="AK7" s="449"/>
      <c r="AL7" s="449"/>
      <c r="AM7" s="449"/>
      <c r="AN7" s="449"/>
      <c r="AO7" s="449"/>
      <c r="AP7" s="449"/>
      <c r="AQ7" s="451"/>
      <c r="AR7" s="167"/>
      <c r="AS7" s="167"/>
      <c r="AT7" s="167"/>
      <c r="AU7" s="167"/>
      <c r="AV7" s="167"/>
      <c r="AW7" s="167"/>
      <c r="AX7" s="168"/>
    </row>
    <row r="8" spans="2:50" ht="9.75" customHeight="1" thickBot="1">
      <c r="B8" s="166"/>
      <c r="C8" s="167"/>
      <c r="D8" s="167"/>
      <c r="E8" s="167"/>
      <c r="F8" s="167"/>
      <c r="G8" s="167"/>
      <c r="H8" s="440"/>
      <c r="I8" s="441"/>
      <c r="J8" s="441"/>
      <c r="K8" s="441"/>
      <c r="L8" s="441"/>
      <c r="M8" s="441"/>
      <c r="N8" s="441"/>
      <c r="O8" s="441"/>
      <c r="P8" s="441"/>
      <c r="Q8" s="441"/>
      <c r="R8" s="441"/>
      <c r="S8" s="441"/>
      <c r="T8" s="450"/>
      <c r="U8" s="450"/>
      <c r="V8" s="450"/>
      <c r="W8" s="450"/>
      <c r="X8" s="450"/>
      <c r="Y8" s="450"/>
      <c r="Z8" s="450"/>
      <c r="AA8" s="450"/>
      <c r="AB8" s="450"/>
      <c r="AC8" s="450"/>
      <c r="AD8" s="450"/>
      <c r="AE8" s="450"/>
      <c r="AF8" s="450"/>
      <c r="AG8" s="450"/>
      <c r="AH8" s="450"/>
      <c r="AI8" s="450"/>
      <c r="AJ8" s="450"/>
      <c r="AK8" s="450"/>
      <c r="AL8" s="450"/>
      <c r="AM8" s="450"/>
      <c r="AN8" s="450"/>
      <c r="AO8" s="450"/>
      <c r="AP8" s="450"/>
      <c r="AQ8" s="452"/>
      <c r="AR8" s="167"/>
      <c r="AS8" s="167"/>
      <c r="AT8" s="167"/>
      <c r="AU8" s="167"/>
      <c r="AV8" s="167"/>
      <c r="AW8" s="167"/>
      <c r="AX8" s="168"/>
    </row>
    <row r="9" spans="2:50" ht="9.75" customHeight="1" thickTop="1">
      <c r="B9" s="166"/>
      <c r="C9" s="167"/>
      <c r="D9" s="167"/>
      <c r="E9" s="167"/>
      <c r="F9" s="167"/>
      <c r="G9" s="167"/>
      <c r="H9" s="444" t="s">
        <v>324</v>
      </c>
      <c r="I9" s="433"/>
      <c r="J9" s="433"/>
      <c r="K9" s="433"/>
      <c r="L9" s="433"/>
      <c r="M9" s="433"/>
      <c r="N9" s="433"/>
      <c r="O9" s="433"/>
      <c r="P9" s="433"/>
      <c r="Q9" s="433"/>
      <c r="R9" s="433"/>
      <c r="S9" s="445"/>
      <c r="T9" s="434">
        <f>'秘書-input'!E30</f>
        <v>32</v>
      </c>
      <c r="U9" s="435"/>
      <c r="V9" s="435"/>
      <c r="W9" s="435"/>
      <c r="X9" s="435"/>
      <c r="Y9" s="435"/>
      <c r="Z9" s="435"/>
      <c r="AA9" s="433" t="s">
        <v>325</v>
      </c>
      <c r="AB9" s="433"/>
      <c r="AC9" s="433"/>
      <c r="AD9" s="433"/>
      <c r="AE9" s="433"/>
      <c r="AF9" s="433"/>
      <c r="AG9" s="364" t="s">
        <v>326</v>
      </c>
      <c r="AH9" s="364"/>
      <c r="AI9" s="364"/>
      <c r="AJ9" s="435">
        <f>'秘書-input'!R30</f>
        <v>9.68</v>
      </c>
      <c r="AK9" s="435"/>
      <c r="AL9" s="435"/>
      <c r="AM9" s="435"/>
      <c r="AN9" s="435"/>
      <c r="AO9" s="435"/>
      <c r="AP9" s="364" t="s">
        <v>318</v>
      </c>
      <c r="AQ9" s="365"/>
      <c r="AR9" s="167"/>
      <c r="AS9" s="167"/>
      <c r="AT9" s="167"/>
      <c r="AU9" s="167"/>
      <c r="AV9" s="167"/>
      <c r="AW9" s="167"/>
      <c r="AX9" s="168"/>
    </row>
    <row r="10" spans="2:50" ht="9.75" customHeight="1" thickBot="1">
      <c r="B10" s="166"/>
      <c r="C10" s="167"/>
      <c r="D10" s="167"/>
      <c r="E10" s="167"/>
      <c r="F10" s="167"/>
      <c r="G10" s="167"/>
      <c r="H10" s="309"/>
      <c r="I10" s="310"/>
      <c r="J10" s="310"/>
      <c r="K10" s="310"/>
      <c r="L10" s="310"/>
      <c r="M10" s="310"/>
      <c r="N10" s="310"/>
      <c r="O10" s="310"/>
      <c r="P10" s="310"/>
      <c r="Q10" s="310"/>
      <c r="R10" s="310"/>
      <c r="S10" s="446"/>
      <c r="T10" s="436"/>
      <c r="U10" s="437"/>
      <c r="V10" s="437"/>
      <c r="W10" s="437"/>
      <c r="X10" s="437"/>
      <c r="Y10" s="437"/>
      <c r="Z10" s="437"/>
      <c r="AA10" s="310"/>
      <c r="AB10" s="310"/>
      <c r="AC10" s="310"/>
      <c r="AD10" s="310"/>
      <c r="AE10" s="310"/>
      <c r="AF10" s="310"/>
      <c r="AG10" s="366"/>
      <c r="AH10" s="366"/>
      <c r="AI10" s="366"/>
      <c r="AJ10" s="437"/>
      <c r="AK10" s="437"/>
      <c r="AL10" s="437"/>
      <c r="AM10" s="437"/>
      <c r="AN10" s="437"/>
      <c r="AO10" s="437"/>
      <c r="AP10" s="366"/>
      <c r="AQ10" s="367"/>
      <c r="AR10" s="167"/>
      <c r="AS10" s="167"/>
      <c r="AT10" s="167"/>
      <c r="AU10" s="167"/>
      <c r="AV10" s="167"/>
      <c r="AW10" s="167"/>
      <c r="AX10" s="168"/>
    </row>
    <row r="11" spans="2:50" ht="9.75" customHeight="1" thickTop="1">
      <c r="B11" s="166"/>
      <c r="C11" s="167"/>
      <c r="D11" s="167"/>
      <c r="E11" s="167"/>
      <c r="F11" s="167"/>
      <c r="G11" s="167"/>
      <c r="H11" s="375" t="s">
        <v>327</v>
      </c>
      <c r="I11" s="364"/>
      <c r="J11" s="364"/>
      <c r="K11" s="364"/>
      <c r="L11" s="364"/>
      <c r="M11" s="364"/>
      <c r="N11" s="364"/>
      <c r="O11" s="364"/>
      <c r="P11" s="364"/>
      <c r="Q11" s="364"/>
      <c r="R11" s="364"/>
      <c r="S11" s="365"/>
      <c r="T11" s="375">
        <f>'秘書-input'!H30</f>
        <v>1200</v>
      </c>
      <c r="U11" s="364"/>
      <c r="V11" s="364"/>
      <c r="W11" s="364"/>
      <c r="X11" s="364"/>
      <c r="Y11" s="364"/>
      <c r="Z11" s="364"/>
      <c r="AA11" s="433" t="s">
        <v>328</v>
      </c>
      <c r="AB11" s="433"/>
      <c r="AC11" s="433"/>
      <c r="AD11" s="433"/>
      <c r="AE11" s="433"/>
      <c r="AF11" s="433"/>
      <c r="AG11" s="364">
        <f>'秘書-input'!J30</f>
        <v>70</v>
      </c>
      <c r="AH11" s="364"/>
      <c r="AI11" s="364"/>
      <c r="AJ11" s="364"/>
      <c r="AK11" s="364"/>
      <c r="AL11" s="364"/>
      <c r="AM11" s="364"/>
      <c r="AN11" s="364"/>
      <c r="AO11" s="364"/>
      <c r="AP11" s="364"/>
      <c r="AQ11" s="365"/>
      <c r="AR11" s="167"/>
      <c r="AS11" s="167"/>
      <c r="AT11" s="167"/>
      <c r="AU11" s="167"/>
      <c r="AV11" s="167"/>
      <c r="AW11" s="167"/>
      <c r="AX11" s="168"/>
    </row>
    <row r="12" spans="2:50" ht="9.75" customHeight="1" thickBot="1">
      <c r="B12" s="166"/>
      <c r="C12" s="167"/>
      <c r="D12" s="167"/>
      <c r="E12" s="167"/>
      <c r="F12" s="167"/>
      <c r="G12" s="167"/>
      <c r="H12" s="377"/>
      <c r="I12" s="366"/>
      <c r="J12" s="366"/>
      <c r="K12" s="366"/>
      <c r="L12" s="366"/>
      <c r="M12" s="366"/>
      <c r="N12" s="366"/>
      <c r="O12" s="366"/>
      <c r="P12" s="366"/>
      <c r="Q12" s="366"/>
      <c r="R12" s="366"/>
      <c r="S12" s="367"/>
      <c r="T12" s="377"/>
      <c r="U12" s="366"/>
      <c r="V12" s="366"/>
      <c r="W12" s="366"/>
      <c r="X12" s="366"/>
      <c r="Y12" s="366"/>
      <c r="Z12" s="366"/>
      <c r="AA12" s="310"/>
      <c r="AB12" s="310"/>
      <c r="AC12" s="310"/>
      <c r="AD12" s="310"/>
      <c r="AE12" s="310"/>
      <c r="AF12" s="310"/>
      <c r="AG12" s="366"/>
      <c r="AH12" s="366"/>
      <c r="AI12" s="366"/>
      <c r="AJ12" s="366"/>
      <c r="AK12" s="366"/>
      <c r="AL12" s="366"/>
      <c r="AM12" s="366"/>
      <c r="AN12" s="366"/>
      <c r="AO12" s="366"/>
      <c r="AP12" s="366"/>
      <c r="AQ12" s="367"/>
      <c r="AR12" s="167"/>
      <c r="AS12" s="167"/>
      <c r="AT12" s="167"/>
      <c r="AU12" s="167"/>
      <c r="AV12" s="167"/>
      <c r="AW12" s="167"/>
      <c r="AX12" s="168"/>
    </row>
    <row r="13" spans="2:50" ht="9.75" customHeight="1" thickTop="1">
      <c r="B13" s="166"/>
      <c r="C13" s="167"/>
      <c r="D13" s="167"/>
      <c r="E13" s="167"/>
      <c r="F13" s="167"/>
      <c r="G13" s="167"/>
      <c r="H13" s="375" t="s">
        <v>329</v>
      </c>
      <c r="I13" s="364"/>
      <c r="J13" s="364"/>
      <c r="K13" s="364"/>
      <c r="L13" s="364"/>
      <c r="M13" s="364"/>
      <c r="N13" s="364"/>
      <c r="O13" s="364"/>
      <c r="P13" s="364"/>
      <c r="Q13" s="364"/>
      <c r="R13" s="364"/>
      <c r="S13" s="365"/>
      <c r="T13" s="453">
        <f>'秘書-input'!U30</f>
        <v>1.8666666666666667</v>
      </c>
      <c r="U13" s="454"/>
      <c r="V13" s="454"/>
      <c r="W13" s="454"/>
      <c r="X13" s="454"/>
      <c r="Y13" s="454"/>
      <c r="Z13" s="454"/>
      <c r="AA13" s="433" t="s">
        <v>325</v>
      </c>
      <c r="AB13" s="433"/>
      <c r="AC13" s="433"/>
      <c r="AD13" s="433"/>
      <c r="AE13" s="433"/>
      <c r="AF13" s="433"/>
      <c r="AG13" s="364" t="s">
        <v>326</v>
      </c>
      <c r="AH13" s="364"/>
      <c r="AI13" s="364"/>
      <c r="AJ13" s="435">
        <f>'秘書-input'!X30</f>
        <v>0.56466666666666665</v>
      </c>
      <c r="AK13" s="435"/>
      <c r="AL13" s="435"/>
      <c r="AM13" s="435"/>
      <c r="AN13" s="435"/>
      <c r="AO13" s="435"/>
      <c r="AP13" s="364" t="s">
        <v>318</v>
      </c>
      <c r="AQ13" s="365"/>
      <c r="AR13" s="167"/>
      <c r="AS13" s="167"/>
      <c r="AT13" s="167"/>
      <c r="AU13" s="167"/>
      <c r="AV13" s="167"/>
      <c r="AW13" s="167"/>
      <c r="AX13" s="168"/>
    </row>
    <row r="14" spans="2:50" ht="9.75" customHeight="1" thickBot="1">
      <c r="B14" s="166"/>
      <c r="C14" s="167"/>
      <c r="D14" s="167"/>
      <c r="E14" s="167"/>
      <c r="F14" s="167"/>
      <c r="G14" s="167"/>
      <c r="H14" s="377"/>
      <c r="I14" s="366"/>
      <c r="J14" s="366"/>
      <c r="K14" s="366"/>
      <c r="L14" s="366"/>
      <c r="M14" s="366"/>
      <c r="N14" s="366"/>
      <c r="O14" s="366"/>
      <c r="P14" s="366"/>
      <c r="Q14" s="366"/>
      <c r="R14" s="366"/>
      <c r="S14" s="367"/>
      <c r="T14" s="455"/>
      <c r="U14" s="456"/>
      <c r="V14" s="456"/>
      <c r="W14" s="456"/>
      <c r="X14" s="456"/>
      <c r="Y14" s="456"/>
      <c r="Z14" s="456"/>
      <c r="AA14" s="310"/>
      <c r="AB14" s="310"/>
      <c r="AC14" s="310"/>
      <c r="AD14" s="310"/>
      <c r="AE14" s="310"/>
      <c r="AF14" s="310"/>
      <c r="AG14" s="366"/>
      <c r="AH14" s="366"/>
      <c r="AI14" s="366"/>
      <c r="AJ14" s="437"/>
      <c r="AK14" s="437"/>
      <c r="AL14" s="437"/>
      <c r="AM14" s="437"/>
      <c r="AN14" s="437"/>
      <c r="AO14" s="437"/>
      <c r="AP14" s="366"/>
      <c r="AQ14" s="367"/>
      <c r="AR14" s="167"/>
      <c r="AS14" s="167"/>
      <c r="AT14" s="167"/>
      <c r="AU14" s="167"/>
      <c r="AV14" s="167"/>
      <c r="AW14" s="167"/>
      <c r="AX14" s="168"/>
    </row>
    <row r="15" spans="2:50" ht="9.75" customHeight="1" thickTop="1">
      <c r="B15" s="166"/>
      <c r="C15" s="167"/>
      <c r="D15" s="167"/>
      <c r="E15" s="167"/>
      <c r="F15" s="167"/>
      <c r="G15" s="167"/>
      <c r="H15" s="375" t="s">
        <v>330</v>
      </c>
      <c r="I15" s="364"/>
      <c r="J15" s="364"/>
      <c r="K15" s="364"/>
      <c r="L15" s="364"/>
      <c r="M15" s="364"/>
      <c r="N15" s="364"/>
      <c r="O15" s="364"/>
      <c r="P15" s="364"/>
      <c r="Q15" s="364"/>
      <c r="R15" s="364"/>
      <c r="S15" s="365"/>
      <c r="T15" s="375" t="str">
        <f>'秘書-input'!L30</f>
        <v>商四</v>
      </c>
      <c r="U15" s="364"/>
      <c r="V15" s="364"/>
      <c r="W15" s="364"/>
      <c r="X15" s="364"/>
      <c r="Y15" s="364"/>
      <c r="Z15" s="364"/>
      <c r="AA15" s="364"/>
      <c r="AB15" s="364"/>
      <c r="AC15" s="364"/>
      <c r="AD15" s="364"/>
      <c r="AE15" s="364"/>
      <c r="AF15" s="364"/>
      <c r="AG15" s="364"/>
      <c r="AH15" s="364"/>
      <c r="AI15" s="364"/>
      <c r="AJ15" s="364"/>
      <c r="AK15" s="364"/>
      <c r="AL15" s="364"/>
      <c r="AM15" s="364"/>
      <c r="AN15" s="364"/>
      <c r="AO15" s="364"/>
      <c r="AP15" s="364"/>
      <c r="AQ15" s="365"/>
      <c r="AR15" s="167"/>
      <c r="AS15" s="167"/>
      <c r="AT15" s="167"/>
      <c r="AU15" s="167"/>
      <c r="AV15" s="167"/>
      <c r="AW15" s="167"/>
      <c r="AX15" s="168"/>
    </row>
    <row r="16" spans="2:50" ht="9.75" customHeight="1" thickBot="1">
      <c r="B16" s="166"/>
      <c r="C16" s="167"/>
      <c r="D16" s="167"/>
      <c r="E16" s="167"/>
      <c r="F16" s="167"/>
      <c r="G16" s="167"/>
      <c r="H16" s="377"/>
      <c r="I16" s="366"/>
      <c r="J16" s="366"/>
      <c r="K16" s="366"/>
      <c r="L16" s="366"/>
      <c r="M16" s="366"/>
      <c r="N16" s="366"/>
      <c r="O16" s="366"/>
      <c r="P16" s="366"/>
      <c r="Q16" s="366"/>
      <c r="R16" s="366"/>
      <c r="S16" s="367"/>
      <c r="T16" s="377"/>
      <c r="U16" s="366"/>
      <c r="V16" s="366"/>
      <c r="W16" s="366"/>
      <c r="X16" s="366"/>
      <c r="Y16" s="366"/>
      <c r="Z16" s="366"/>
      <c r="AA16" s="366"/>
      <c r="AB16" s="366"/>
      <c r="AC16" s="366"/>
      <c r="AD16" s="366"/>
      <c r="AE16" s="366"/>
      <c r="AF16" s="366"/>
      <c r="AG16" s="366"/>
      <c r="AH16" s="366"/>
      <c r="AI16" s="366"/>
      <c r="AJ16" s="366"/>
      <c r="AK16" s="366"/>
      <c r="AL16" s="366"/>
      <c r="AM16" s="366"/>
      <c r="AN16" s="366"/>
      <c r="AO16" s="366"/>
      <c r="AP16" s="366"/>
      <c r="AQ16" s="367"/>
      <c r="AR16" s="167"/>
      <c r="AS16" s="167"/>
      <c r="AT16" s="167"/>
      <c r="AU16" s="167"/>
      <c r="AV16" s="167"/>
      <c r="AW16" s="167"/>
      <c r="AX16" s="168"/>
    </row>
    <row r="17" spans="1:50" ht="9.75" customHeight="1" thickTop="1">
      <c r="B17" s="166"/>
      <c r="C17" s="167"/>
      <c r="D17" s="167"/>
      <c r="E17" s="167"/>
      <c r="F17" s="167"/>
      <c r="G17" s="167"/>
      <c r="H17" s="375" t="s">
        <v>331</v>
      </c>
      <c r="I17" s="364"/>
      <c r="J17" s="364"/>
      <c r="K17" s="364"/>
      <c r="L17" s="364"/>
      <c r="M17" s="364"/>
      <c r="N17" s="364"/>
      <c r="O17" s="364"/>
      <c r="P17" s="364"/>
      <c r="Q17" s="364"/>
      <c r="R17" s="364"/>
      <c r="S17" s="365"/>
      <c r="T17" s="425">
        <f>'秘書-input'!N30</f>
        <v>0.75</v>
      </c>
      <c r="U17" s="426"/>
      <c r="V17" s="426"/>
      <c r="W17" s="426"/>
      <c r="X17" s="426"/>
      <c r="Y17" s="426"/>
      <c r="Z17" s="426"/>
      <c r="AA17" s="364" t="s">
        <v>332</v>
      </c>
      <c r="AB17" s="364"/>
      <c r="AC17" s="364"/>
      <c r="AD17" s="364"/>
      <c r="AE17" s="364"/>
      <c r="AF17" s="364"/>
      <c r="AG17" s="364"/>
      <c r="AH17" s="364"/>
      <c r="AI17" s="364"/>
      <c r="AJ17" s="364"/>
      <c r="AK17" s="364"/>
      <c r="AL17" s="364"/>
      <c r="AM17" s="364"/>
      <c r="AN17" s="364"/>
      <c r="AO17" s="364"/>
      <c r="AP17" s="364"/>
      <c r="AQ17" s="365"/>
      <c r="AR17" s="167"/>
      <c r="AS17" s="167"/>
      <c r="AT17" s="167"/>
      <c r="AU17" s="167"/>
      <c r="AV17" s="167"/>
      <c r="AW17" s="167"/>
      <c r="AX17" s="168"/>
    </row>
    <row r="18" spans="1:50" ht="9.75" customHeight="1" thickBot="1">
      <c r="B18" s="166"/>
      <c r="C18" s="167"/>
      <c r="D18" s="167"/>
      <c r="E18" s="167"/>
      <c r="F18" s="167"/>
      <c r="G18" s="167"/>
      <c r="H18" s="377"/>
      <c r="I18" s="366"/>
      <c r="J18" s="366"/>
      <c r="K18" s="366"/>
      <c r="L18" s="366"/>
      <c r="M18" s="366"/>
      <c r="N18" s="366"/>
      <c r="O18" s="366"/>
      <c r="P18" s="366"/>
      <c r="Q18" s="366"/>
      <c r="R18" s="366"/>
      <c r="S18" s="367"/>
      <c r="T18" s="427"/>
      <c r="U18" s="428"/>
      <c r="V18" s="428"/>
      <c r="W18" s="428"/>
      <c r="X18" s="428"/>
      <c r="Y18" s="428"/>
      <c r="Z18" s="428"/>
      <c r="AA18" s="366"/>
      <c r="AB18" s="366"/>
      <c r="AC18" s="366"/>
      <c r="AD18" s="366"/>
      <c r="AE18" s="366"/>
      <c r="AF18" s="366"/>
      <c r="AG18" s="366"/>
      <c r="AH18" s="366"/>
      <c r="AI18" s="366"/>
      <c r="AJ18" s="366"/>
      <c r="AK18" s="366"/>
      <c r="AL18" s="366"/>
      <c r="AM18" s="366"/>
      <c r="AN18" s="366"/>
      <c r="AO18" s="366"/>
      <c r="AP18" s="366"/>
      <c r="AQ18" s="367"/>
      <c r="AR18" s="167"/>
      <c r="AS18" s="167"/>
      <c r="AT18" s="167"/>
      <c r="AU18" s="167"/>
      <c r="AV18" s="167"/>
      <c r="AW18" s="167"/>
      <c r="AX18" s="168"/>
    </row>
    <row r="19" spans="1:50" ht="9.75" customHeight="1" thickTop="1">
      <c r="B19" s="166"/>
      <c r="C19" s="167"/>
      <c r="D19" s="167"/>
      <c r="E19" s="167"/>
      <c r="F19" s="167"/>
      <c r="G19" s="167"/>
      <c r="H19" s="375" t="s">
        <v>333</v>
      </c>
      <c r="I19" s="364"/>
      <c r="J19" s="364"/>
      <c r="K19" s="364"/>
      <c r="L19" s="364"/>
      <c r="M19" s="364"/>
      <c r="N19" s="364"/>
      <c r="O19" s="364"/>
      <c r="P19" s="364"/>
      <c r="Q19" s="364"/>
      <c r="R19" s="364"/>
      <c r="S19" s="365"/>
      <c r="T19" s="425">
        <f>'秘書-input'!P30</f>
        <v>8</v>
      </c>
      <c r="U19" s="426"/>
      <c r="V19" s="426"/>
      <c r="W19" s="426"/>
      <c r="X19" s="426"/>
      <c r="Y19" s="426"/>
      <c r="Z19" s="426"/>
      <c r="AA19" s="364" t="s">
        <v>332</v>
      </c>
      <c r="AB19" s="364"/>
      <c r="AC19" s="364"/>
      <c r="AD19" s="364"/>
      <c r="AE19" s="364"/>
      <c r="AF19" s="364"/>
      <c r="AG19" s="364"/>
      <c r="AH19" s="364"/>
      <c r="AI19" s="364"/>
      <c r="AJ19" s="364"/>
      <c r="AK19" s="364"/>
      <c r="AL19" s="364"/>
      <c r="AM19" s="364"/>
      <c r="AN19" s="364"/>
      <c r="AO19" s="364"/>
      <c r="AP19" s="364"/>
      <c r="AQ19" s="365"/>
      <c r="AR19" s="167"/>
      <c r="AS19" s="167"/>
      <c r="AT19" s="167"/>
      <c r="AU19" s="167"/>
      <c r="AV19" s="167"/>
      <c r="AW19" s="167"/>
      <c r="AX19" s="168"/>
    </row>
    <row r="20" spans="1:50" ht="9.75" customHeight="1" thickBot="1">
      <c r="B20" s="169"/>
      <c r="C20" s="160"/>
      <c r="D20" s="160"/>
      <c r="E20" s="160"/>
      <c r="F20" s="160"/>
      <c r="G20" s="167"/>
      <c r="H20" s="377"/>
      <c r="I20" s="366"/>
      <c r="J20" s="366"/>
      <c r="K20" s="366"/>
      <c r="L20" s="366"/>
      <c r="M20" s="366"/>
      <c r="N20" s="366"/>
      <c r="O20" s="366"/>
      <c r="P20" s="366"/>
      <c r="Q20" s="366"/>
      <c r="R20" s="366"/>
      <c r="S20" s="367"/>
      <c r="T20" s="427"/>
      <c r="U20" s="428"/>
      <c r="V20" s="428"/>
      <c r="W20" s="428"/>
      <c r="X20" s="428"/>
      <c r="Y20" s="428"/>
      <c r="Z20" s="428"/>
      <c r="AA20" s="366"/>
      <c r="AB20" s="366"/>
      <c r="AC20" s="366"/>
      <c r="AD20" s="366"/>
      <c r="AE20" s="366"/>
      <c r="AF20" s="366"/>
      <c r="AG20" s="366"/>
      <c r="AH20" s="366"/>
      <c r="AI20" s="366"/>
      <c r="AJ20" s="366"/>
      <c r="AK20" s="366"/>
      <c r="AL20" s="366"/>
      <c r="AM20" s="366"/>
      <c r="AN20" s="366"/>
      <c r="AO20" s="366"/>
      <c r="AP20" s="366"/>
      <c r="AQ20" s="367"/>
      <c r="AR20" s="167"/>
      <c r="AS20" s="167"/>
      <c r="AT20" s="167"/>
      <c r="AU20" s="167"/>
      <c r="AV20" s="167"/>
      <c r="AW20" s="167"/>
      <c r="AX20" s="168"/>
    </row>
    <row r="21" spans="1:50" ht="9.75" customHeight="1" thickTop="1">
      <c r="B21" s="166"/>
      <c r="C21" s="167"/>
      <c r="D21" s="167"/>
      <c r="E21" s="167"/>
      <c r="F21" s="167"/>
      <c r="G21" s="167"/>
      <c r="H21" s="438" t="s">
        <v>334</v>
      </c>
      <c r="I21" s="439"/>
      <c r="J21" s="439"/>
      <c r="K21" s="439"/>
      <c r="L21" s="439"/>
      <c r="M21" s="439"/>
      <c r="N21" s="439"/>
      <c r="O21" s="439"/>
      <c r="P21" s="439"/>
      <c r="Q21" s="439"/>
      <c r="R21" s="439"/>
      <c r="S21" s="439"/>
      <c r="T21" s="439" t="str">
        <f>'秘書-input'!B3</f>
        <v>台北市萬華區</v>
      </c>
      <c r="U21" s="439"/>
      <c r="V21" s="439"/>
      <c r="W21" s="439"/>
      <c r="X21" s="439"/>
      <c r="Y21" s="439"/>
      <c r="Z21" s="439"/>
      <c r="AA21" s="439"/>
      <c r="AB21" s="439"/>
      <c r="AC21" s="439" t="str">
        <f>'秘書-input'!C31</f>
        <v>漢中段一小段779地號</v>
      </c>
      <c r="AD21" s="439"/>
      <c r="AE21" s="439"/>
      <c r="AF21" s="439"/>
      <c r="AG21" s="439"/>
      <c r="AH21" s="439"/>
      <c r="AI21" s="439"/>
      <c r="AJ21" s="439"/>
      <c r="AK21" s="439"/>
      <c r="AL21" s="439"/>
      <c r="AM21" s="439"/>
      <c r="AN21" s="439"/>
      <c r="AO21" s="439"/>
      <c r="AP21" s="439"/>
      <c r="AQ21" s="442"/>
      <c r="AR21" s="167"/>
      <c r="AS21" s="167"/>
      <c r="AT21" s="167"/>
      <c r="AU21" s="167"/>
      <c r="AV21" s="167"/>
      <c r="AW21" s="167"/>
      <c r="AX21" s="168"/>
    </row>
    <row r="22" spans="1:50" ht="9.75" customHeight="1" thickBot="1">
      <c r="B22" s="166"/>
      <c r="C22" s="167"/>
      <c r="D22" s="167"/>
      <c r="E22" s="167"/>
      <c r="F22" s="167"/>
      <c r="G22" s="167"/>
      <c r="H22" s="440"/>
      <c r="I22" s="441"/>
      <c r="J22" s="441"/>
      <c r="K22" s="441"/>
      <c r="L22" s="441"/>
      <c r="M22" s="441"/>
      <c r="N22" s="441"/>
      <c r="O22" s="441"/>
      <c r="P22" s="441"/>
      <c r="Q22" s="441"/>
      <c r="R22" s="441"/>
      <c r="S22" s="441"/>
      <c r="T22" s="441"/>
      <c r="U22" s="441"/>
      <c r="V22" s="441"/>
      <c r="W22" s="441"/>
      <c r="X22" s="441"/>
      <c r="Y22" s="441"/>
      <c r="Z22" s="441"/>
      <c r="AA22" s="441"/>
      <c r="AB22" s="441"/>
      <c r="AC22" s="441"/>
      <c r="AD22" s="441"/>
      <c r="AE22" s="441"/>
      <c r="AF22" s="441"/>
      <c r="AG22" s="441"/>
      <c r="AH22" s="441"/>
      <c r="AI22" s="441"/>
      <c r="AJ22" s="441"/>
      <c r="AK22" s="441"/>
      <c r="AL22" s="441"/>
      <c r="AM22" s="441"/>
      <c r="AN22" s="441"/>
      <c r="AO22" s="441"/>
      <c r="AP22" s="441"/>
      <c r="AQ22" s="443"/>
      <c r="AR22" s="167"/>
      <c r="AS22" s="167"/>
      <c r="AT22" s="167"/>
      <c r="AU22" s="167"/>
      <c r="AV22" s="167"/>
      <c r="AW22" s="167"/>
      <c r="AX22" s="168"/>
    </row>
    <row r="23" spans="1:50" ht="9.75" customHeight="1" thickTop="1">
      <c r="A23" s="70"/>
      <c r="B23" s="166"/>
      <c r="C23" s="167"/>
      <c r="D23" s="167"/>
      <c r="E23" s="167"/>
      <c r="F23" s="167"/>
      <c r="G23" s="167"/>
      <c r="H23" s="444" t="s">
        <v>324</v>
      </c>
      <c r="I23" s="433"/>
      <c r="J23" s="433"/>
      <c r="K23" s="433"/>
      <c r="L23" s="433"/>
      <c r="M23" s="433"/>
      <c r="N23" s="433"/>
      <c r="O23" s="433"/>
      <c r="P23" s="433"/>
      <c r="Q23" s="433"/>
      <c r="R23" s="433"/>
      <c r="S23" s="445"/>
      <c r="T23" s="434">
        <f>'秘書-input'!E31</f>
        <v>985</v>
      </c>
      <c r="U23" s="435"/>
      <c r="V23" s="435"/>
      <c r="W23" s="435"/>
      <c r="X23" s="435"/>
      <c r="Y23" s="435"/>
      <c r="Z23" s="435"/>
      <c r="AA23" s="433" t="s">
        <v>335</v>
      </c>
      <c r="AB23" s="433"/>
      <c r="AC23" s="433"/>
      <c r="AD23" s="433"/>
      <c r="AE23" s="433"/>
      <c r="AF23" s="433"/>
      <c r="AG23" s="364" t="s">
        <v>336</v>
      </c>
      <c r="AH23" s="364"/>
      <c r="AI23" s="364"/>
      <c r="AJ23" s="435">
        <f>'秘書-input'!R31</f>
        <v>297.96249999999998</v>
      </c>
      <c r="AK23" s="435"/>
      <c r="AL23" s="435"/>
      <c r="AM23" s="435"/>
      <c r="AN23" s="435"/>
      <c r="AO23" s="435"/>
      <c r="AP23" s="364" t="s">
        <v>318</v>
      </c>
      <c r="AQ23" s="365"/>
      <c r="AR23" s="167"/>
      <c r="AS23" s="167"/>
      <c r="AT23" s="167"/>
      <c r="AU23" s="167"/>
      <c r="AV23" s="167"/>
      <c r="AW23" s="167"/>
      <c r="AX23" s="168"/>
    </row>
    <row r="24" spans="1:50" ht="9.75" customHeight="1" thickBot="1">
      <c r="B24" s="166"/>
      <c r="C24" s="167"/>
      <c r="D24" s="167"/>
      <c r="E24" s="167"/>
      <c r="F24" s="167"/>
      <c r="G24" s="167"/>
      <c r="H24" s="309"/>
      <c r="I24" s="310"/>
      <c r="J24" s="310"/>
      <c r="K24" s="310"/>
      <c r="L24" s="310"/>
      <c r="M24" s="310"/>
      <c r="N24" s="310"/>
      <c r="O24" s="310"/>
      <c r="P24" s="310"/>
      <c r="Q24" s="310"/>
      <c r="R24" s="310"/>
      <c r="S24" s="446"/>
      <c r="T24" s="436"/>
      <c r="U24" s="437"/>
      <c r="V24" s="437"/>
      <c r="W24" s="437"/>
      <c r="X24" s="437"/>
      <c r="Y24" s="437"/>
      <c r="Z24" s="437"/>
      <c r="AA24" s="310"/>
      <c r="AB24" s="310"/>
      <c r="AC24" s="310"/>
      <c r="AD24" s="310"/>
      <c r="AE24" s="310"/>
      <c r="AF24" s="310"/>
      <c r="AG24" s="366"/>
      <c r="AH24" s="366"/>
      <c r="AI24" s="366"/>
      <c r="AJ24" s="437"/>
      <c r="AK24" s="437"/>
      <c r="AL24" s="437"/>
      <c r="AM24" s="437"/>
      <c r="AN24" s="437"/>
      <c r="AO24" s="437"/>
      <c r="AP24" s="366"/>
      <c r="AQ24" s="367"/>
      <c r="AR24" s="167"/>
      <c r="AS24" s="167"/>
      <c r="AT24" s="167"/>
      <c r="AU24" s="167"/>
      <c r="AV24" s="167"/>
      <c r="AW24" s="167"/>
      <c r="AX24" s="168"/>
    </row>
    <row r="25" spans="1:50" ht="9.75" customHeight="1" thickTop="1">
      <c r="B25" s="166"/>
      <c r="C25" s="167"/>
      <c r="D25" s="167"/>
      <c r="E25" s="167"/>
      <c r="F25" s="167"/>
      <c r="G25" s="167"/>
      <c r="H25" s="375" t="s">
        <v>327</v>
      </c>
      <c r="I25" s="364"/>
      <c r="J25" s="364"/>
      <c r="K25" s="364"/>
      <c r="L25" s="364"/>
      <c r="M25" s="364"/>
      <c r="N25" s="364"/>
      <c r="O25" s="364"/>
      <c r="P25" s="364"/>
      <c r="Q25" s="364"/>
      <c r="R25" s="364"/>
      <c r="S25" s="365"/>
      <c r="T25" s="429">
        <f>'秘書-input'!H31</f>
        <v>10000</v>
      </c>
      <c r="U25" s="430"/>
      <c r="V25" s="430"/>
      <c r="W25" s="430"/>
      <c r="X25" s="430"/>
      <c r="Y25" s="430"/>
      <c r="Z25" s="430"/>
      <c r="AA25" s="433" t="s">
        <v>328</v>
      </c>
      <c r="AB25" s="433"/>
      <c r="AC25" s="433"/>
      <c r="AD25" s="433"/>
      <c r="AE25" s="433"/>
      <c r="AF25" s="433"/>
      <c r="AG25" s="364">
        <f>'秘書-input'!J31</f>
        <v>580</v>
      </c>
      <c r="AH25" s="364"/>
      <c r="AI25" s="364"/>
      <c r="AJ25" s="364"/>
      <c r="AK25" s="364"/>
      <c r="AL25" s="364"/>
      <c r="AM25" s="364"/>
      <c r="AN25" s="364"/>
      <c r="AO25" s="364"/>
      <c r="AP25" s="364"/>
      <c r="AQ25" s="365"/>
      <c r="AR25" s="167"/>
      <c r="AS25" s="167"/>
      <c r="AT25" s="167"/>
      <c r="AU25" s="167"/>
      <c r="AV25" s="167"/>
      <c r="AW25" s="167"/>
      <c r="AX25" s="168"/>
    </row>
    <row r="26" spans="1:50" ht="9.75" customHeight="1" thickBot="1">
      <c r="B26" s="166"/>
      <c r="C26" s="167"/>
      <c r="D26" s="167"/>
      <c r="E26" s="167"/>
      <c r="F26" s="167"/>
      <c r="G26" s="167"/>
      <c r="H26" s="377"/>
      <c r="I26" s="366"/>
      <c r="J26" s="366"/>
      <c r="K26" s="366"/>
      <c r="L26" s="366"/>
      <c r="M26" s="366"/>
      <c r="N26" s="366"/>
      <c r="O26" s="366"/>
      <c r="P26" s="366"/>
      <c r="Q26" s="366"/>
      <c r="R26" s="366"/>
      <c r="S26" s="367"/>
      <c r="T26" s="431"/>
      <c r="U26" s="432"/>
      <c r="V26" s="432"/>
      <c r="W26" s="432"/>
      <c r="X26" s="432"/>
      <c r="Y26" s="432"/>
      <c r="Z26" s="432"/>
      <c r="AA26" s="310"/>
      <c r="AB26" s="310"/>
      <c r="AC26" s="310"/>
      <c r="AD26" s="310"/>
      <c r="AE26" s="310"/>
      <c r="AF26" s="310"/>
      <c r="AG26" s="366"/>
      <c r="AH26" s="366"/>
      <c r="AI26" s="366"/>
      <c r="AJ26" s="366"/>
      <c r="AK26" s="366"/>
      <c r="AL26" s="366"/>
      <c r="AM26" s="366"/>
      <c r="AN26" s="366"/>
      <c r="AO26" s="366"/>
      <c r="AP26" s="366"/>
      <c r="AQ26" s="367"/>
      <c r="AR26" s="167"/>
      <c r="AS26" s="167"/>
      <c r="AT26" s="167"/>
      <c r="AU26" s="167"/>
      <c r="AV26" s="167"/>
      <c r="AW26" s="167"/>
      <c r="AX26" s="168"/>
    </row>
    <row r="27" spans="1:50" ht="9.75" customHeight="1" thickTop="1">
      <c r="B27" s="166"/>
      <c r="C27" s="167"/>
      <c r="D27" s="167"/>
      <c r="E27" s="167"/>
      <c r="F27" s="167"/>
      <c r="G27" s="167"/>
      <c r="H27" s="375" t="s">
        <v>329</v>
      </c>
      <c r="I27" s="364"/>
      <c r="J27" s="364"/>
      <c r="K27" s="364"/>
      <c r="L27" s="364"/>
      <c r="M27" s="364"/>
      <c r="N27" s="364"/>
      <c r="O27" s="364"/>
      <c r="P27" s="364"/>
      <c r="Q27" s="364"/>
      <c r="R27" s="364"/>
      <c r="S27" s="365"/>
      <c r="T27" s="434">
        <f>'秘書-input'!U31</f>
        <v>57.13</v>
      </c>
      <c r="U27" s="435"/>
      <c r="V27" s="435"/>
      <c r="W27" s="435"/>
      <c r="X27" s="435"/>
      <c r="Y27" s="435"/>
      <c r="Z27" s="435"/>
      <c r="AA27" s="433" t="s">
        <v>325</v>
      </c>
      <c r="AB27" s="433"/>
      <c r="AC27" s="433"/>
      <c r="AD27" s="433"/>
      <c r="AE27" s="433"/>
      <c r="AF27" s="433"/>
      <c r="AG27" s="364" t="s">
        <v>326</v>
      </c>
      <c r="AH27" s="364"/>
      <c r="AI27" s="364"/>
      <c r="AJ27" s="435">
        <f>'秘書-input'!X31</f>
        <v>17.281825000000001</v>
      </c>
      <c r="AK27" s="435"/>
      <c r="AL27" s="435"/>
      <c r="AM27" s="435"/>
      <c r="AN27" s="435"/>
      <c r="AO27" s="435"/>
      <c r="AP27" s="364" t="s">
        <v>318</v>
      </c>
      <c r="AQ27" s="365"/>
      <c r="AR27" s="167"/>
      <c r="AS27" s="167"/>
      <c r="AT27" s="167"/>
      <c r="AU27" s="167"/>
      <c r="AV27" s="167"/>
      <c r="AW27" s="167"/>
      <c r="AX27" s="168"/>
    </row>
    <row r="28" spans="1:50" ht="9.75" customHeight="1" thickBot="1">
      <c r="B28" s="166"/>
      <c r="C28" s="167"/>
      <c r="D28" s="167"/>
      <c r="E28" s="167"/>
      <c r="F28" s="167"/>
      <c r="G28" s="167"/>
      <c r="H28" s="377"/>
      <c r="I28" s="366"/>
      <c r="J28" s="366"/>
      <c r="K28" s="366"/>
      <c r="L28" s="366"/>
      <c r="M28" s="366"/>
      <c r="N28" s="366"/>
      <c r="O28" s="366"/>
      <c r="P28" s="366"/>
      <c r="Q28" s="366"/>
      <c r="R28" s="366"/>
      <c r="S28" s="367"/>
      <c r="T28" s="436"/>
      <c r="U28" s="437"/>
      <c r="V28" s="437"/>
      <c r="W28" s="437"/>
      <c r="X28" s="437"/>
      <c r="Y28" s="437"/>
      <c r="Z28" s="437"/>
      <c r="AA28" s="310"/>
      <c r="AB28" s="310"/>
      <c r="AC28" s="310"/>
      <c r="AD28" s="310"/>
      <c r="AE28" s="310"/>
      <c r="AF28" s="310"/>
      <c r="AG28" s="366"/>
      <c r="AH28" s="366"/>
      <c r="AI28" s="366"/>
      <c r="AJ28" s="437"/>
      <c r="AK28" s="437"/>
      <c r="AL28" s="437"/>
      <c r="AM28" s="437"/>
      <c r="AN28" s="437"/>
      <c r="AO28" s="437"/>
      <c r="AP28" s="366"/>
      <c r="AQ28" s="367"/>
      <c r="AR28" s="167"/>
      <c r="AS28" s="167"/>
      <c r="AT28" s="167"/>
      <c r="AU28" s="167"/>
      <c r="AV28" s="167"/>
      <c r="AW28" s="167"/>
      <c r="AX28" s="168"/>
    </row>
    <row r="29" spans="1:50" ht="9.75" customHeight="1" thickTop="1">
      <c r="B29" s="166"/>
      <c r="C29" s="167"/>
      <c r="D29" s="167"/>
      <c r="E29" s="167"/>
      <c r="F29" s="167"/>
      <c r="G29" s="167"/>
      <c r="H29" s="375" t="s">
        <v>330</v>
      </c>
      <c r="I29" s="364"/>
      <c r="J29" s="364"/>
      <c r="K29" s="364"/>
      <c r="L29" s="364"/>
      <c r="M29" s="364"/>
      <c r="N29" s="364"/>
      <c r="O29" s="364"/>
      <c r="P29" s="364"/>
      <c r="Q29" s="364"/>
      <c r="R29" s="364"/>
      <c r="S29" s="365"/>
      <c r="T29" s="375" t="str">
        <f>'秘書-input'!L31</f>
        <v>商四</v>
      </c>
      <c r="U29" s="364"/>
      <c r="V29" s="364"/>
      <c r="W29" s="364"/>
      <c r="X29" s="364"/>
      <c r="Y29" s="364"/>
      <c r="Z29" s="364"/>
      <c r="AA29" s="364"/>
      <c r="AB29" s="364"/>
      <c r="AC29" s="364"/>
      <c r="AD29" s="364"/>
      <c r="AE29" s="364"/>
      <c r="AF29" s="364"/>
      <c r="AG29" s="364"/>
      <c r="AH29" s="364"/>
      <c r="AI29" s="364"/>
      <c r="AJ29" s="364"/>
      <c r="AK29" s="364"/>
      <c r="AL29" s="364"/>
      <c r="AM29" s="364"/>
      <c r="AN29" s="364"/>
      <c r="AO29" s="364"/>
      <c r="AP29" s="364"/>
      <c r="AQ29" s="365"/>
      <c r="AR29" s="167"/>
      <c r="AS29" s="167"/>
      <c r="AT29" s="167"/>
      <c r="AU29" s="167"/>
      <c r="AV29" s="167"/>
      <c r="AW29" s="167"/>
      <c r="AX29" s="168"/>
    </row>
    <row r="30" spans="1:50" ht="9.75" customHeight="1" thickBot="1">
      <c r="B30" s="166"/>
      <c r="C30" s="167"/>
      <c r="D30" s="167"/>
      <c r="E30" s="167"/>
      <c r="F30" s="167"/>
      <c r="G30" s="167"/>
      <c r="H30" s="377"/>
      <c r="I30" s="366"/>
      <c r="J30" s="366"/>
      <c r="K30" s="366"/>
      <c r="L30" s="366"/>
      <c r="M30" s="366"/>
      <c r="N30" s="366"/>
      <c r="O30" s="366"/>
      <c r="P30" s="366"/>
      <c r="Q30" s="366"/>
      <c r="R30" s="366"/>
      <c r="S30" s="367"/>
      <c r="T30" s="377"/>
      <c r="U30" s="366"/>
      <c r="V30" s="366"/>
      <c r="W30" s="366"/>
      <c r="X30" s="366"/>
      <c r="Y30" s="366"/>
      <c r="Z30" s="366"/>
      <c r="AA30" s="366"/>
      <c r="AB30" s="366"/>
      <c r="AC30" s="366"/>
      <c r="AD30" s="366"/>
      <c r="AE30" s="366"/>
      <c r="AF30" s="366"/>
      <c r="AG30" s="366"/>
      <c r="AH30" s="366"/>
      <c r="AI30" s="366"/>
      <c r="AJ30" s="366"/>
      <c r="AK30" s="366"/>
      <c r="AL30" s="366"/>
      <c r="AM30" s="366"/>
      <c r="AN30" s="366"/>
      <c r="AO30" s="366"/>
      <c r="AP30" s="366"/>
      <c r="AQ30" s="367"/>
      <c r="AR30" s="167"/>
      <c r="AS30" s="167"/>
      <c r="AT30" s="167"/>
      <c r="AU30" s="167"/>
      <c r="AV30" s="167"/>
      <c r="AW30" s="167"/>
      <c r="AX30" s="168"/>
    </row>
    <row r="31" spans="1:50" ht="9.75" customHeight="1" thickTop="1">
      <c r="B31" s="166"/>
      <c r="C31" s="167"/>
      <c r="D31" s="167"/>
      <c r="E31" s="167"/>
      <c r="F31" s="167"/>
      <c r="G31" s="167"/>
      <c r="H31" s="375" t="s">
        <v>331</v>
      </c>
      <c r="I31" s="364"/>
      <c r="J31" s="364"/>
      <c r="K31" s="364"/>
      <c r="L31" s="364"/>
      <c r="M31" s="364"/>
      <c r="N31" s="364"/>
      <c r="O31" s="364"/>
      <c r="P31" s="364"/>
      <c r="Q31" s="364"/>
      <c r="R31" s="364"/>
      <c r="S31" s="365"/>
      <c r="T31" s="425">
        <f>'秘書-input'!N31</f>
        <v>0.75</v>
      </c>
      <c r="U31" s="426"/>
      <c r="V31" s="426"/>
      <c r="W31" s="426"/>
      <c r="X31" s="426"/>
      <c r="Y31" s="426"/>
      <c r="Z31" s="426"/>
      <c r="AA31" s="364" t="s">
        <v>332</v>
      </c>
      <c r="AB31" s="364"/>
      <c r="AC31" s="364"/>
      <c r="AD31" s="364"/>
      <c r="AE31" s="364"/>
      <c r="AF31" s="364"/>
      <c r="AG31" s="364"/>
      <c r="AH31" s="364"/>
      <c r="AI31" s="364"/>
      <c r="AJ31" s="364"/>
      <c r="AK31" s="364"/>
      <c r="AL31" s="364"/>
      <c r="AM31" s="364"/>
      <c r="AN31" s="364"/>
      <c r="AO31" s="364"/>
      <c r="AP31" s="364"/>
      <c r="AQ31" s="365"/>
      <c r="AR31" s="167"/>
      <c r="AS31" s="167"/>
      <c r="AT31" s="167"/>
      <c r="AU31" s="167"/>
      <c r="AV31" s="167"/>
      <c r="AW31" s="167"/>
      <c r="AX31" s="168"/>
    </row>
    <row r="32" spans="1:50" ht="9.75" customHeight="1" thickBot="1">
      <c r="B32" s="166"/>
      <c r="C32" s="167"/>
      <c r="D32" s="167"/>
      <c r="E32" s="167"/>
      <c r="F32" s="167"/>
      <c r="G32" s="167"/>
      <c r="H32" s="377"/>
      <c r="I32" s="366"/>
      <c r="J32" s="366"/>
      <c r="K32" s="366"/>
      <c r="L32" s="366"/>
      <c r="M32" s="366"/>
      <c r="N32" s="366"/>
      <c r="O32" s="366"/>
      <c r="P32" s="366"/>
      <c r="Q32" s="366"/>
      <c r="R32" s="366"/>
      <c r="S32" s="367"/>
      <c r="T32" s="427"/>
      <c r="U32" s="428"/>
      <c r="V32" s="428"/>
      <c r="W32" s="428"/>
      <c r="X32" s="428"/>
      <c r="Y32" s="428"/>
      <c r="Z32" s="428"/>
      <c r="AA32" s="366"/>
      <c r="AB32" s="366"/>
      <c r="AC32" s="366"/>
      <c r="AD32" s="366"/>
      <c r="AE32" s="366"/>
      <c r="AF32" s="366"/>
      <c r="AG32" s="366"/>
      <c r="AH32" s="366"/>
      <c r="AI32" s="366"/>
      <c r="AJ32" s="366"/>
      <c r="AK32" s="366"/>
      <c r="AL32" s="366"/>
      <c r="AM32" s="366"/>
      <c r="AN32" s="366"/>
      <c r="AO32" s="366"/>
      <c r="AP32" s="366"/>
      <c r="AQ32" s="367"/>
      <c r="AR32" s="167"/>
      <c r="AS32" s="167"/>
      <c r="AT32" s="167"/>
      <c r="AU32" s="167"/>
      <c r="AV32" s="167"/>
      <c r="AW32" s="167"/>
      <c r="AX32" s="168"/>
    </row>
    <row r="33" spans="2:50" ht="9.75" customHeight="1" thickTop="1">
      <c r="B33" s="166"/>
      <c r="C33" s="167"/>
      <c r="D33" s="167"/>
      <c r="E33" s="167"/>
      <c r="F33" s="167"/>
      <c r="G33" s="167"/>
      <c r="H33" s="375" t="s">
        <v>333</v>
      </c>
      <c r="I33" s="364"/>
      <c r="J33" s="364"/>
      <c r="K33" s="364"/>
      <c r="L33" s="364"/>
      <c r="M33" s="364"/>
      <c r="N33" s="364"/>
      <c r="O33" s="364"/>
      <c r="P33" s="364"/>
      <c r="Q33" s="364"/>
      <c r="R33" s="364"/>
      <c r="S33" s="365"/>
      <c r="T33" s="425">
        <f>'秘書-input'!P31</f>
        <v>8</v>
      </c>
      <c r="U33" s="426"/>
      <c r="V33" s="426"/>
      <c r="W33" s="426"/>
      <c r="X33" s="426"/>
      <c r="Y33" s="426"/>
      <c r="Z33" s="426"/>
      <c r="AA33" s="364" t="s">
        <v>332</v>
      </c>
      <c r="AB33" s="364"/>
      <c r="AC33" s="364"/>
      <c r="AD33" s="364"/>
      <c r="AE33" s="364"/>
      <c r="AF33" s="364"/>
      <c r="AG33" s="364"/>
      <c r="AH33" s="364"/>
      <c r="AI33" s="364"/>
      <c r="AJ33" s="364"/>
      <c r="AK33" s="364"/>
      <c r="AL33" s="364"/>
      <c r="AM33" s="364"/>
      <c r="AN33" s="364"/>
      <c r="AO33" s="364"/>
      <c r="AP33" s="364"/>
      <c r="AQ33" s="365"/>
      <c r="AR33" s="167"/>
      <c r="AS33" s="167"/>
      <c r="AT33" s="167"/>
      <c r="AU33" s="167"/>
      <c r="AV33" s="167"/>
      <c r="AW33" s="167"/>
      <c r="AX33" s="168"/>
    </row>
    <row r="34" spans="2:50" ht="9.75" customHeight="1" thickBot="1">
      <c r="B34" s="166"/>
      <c r="C34" s="167"/>
      <c r="D34" s="167"/>
      <c r="E34" s="167"/>
      <c r="F34" s="167"/>
      <c r="G34" s="167"/>
      <c r="H34" s="377"/>
      <c r="I34" s="366"/>
      <c r="J34" s="366"/>
      <c r="K34" s="366"/>
      <c r="L34" s="366"/>
      <c r="M34" s="366"/>
      <c r="N34" s="366"/>
      <c r="O34" s="366"/>
      <c r="P34" s="366"/>
      <c r="Q34" s="366"/>
      <c r="R34" s="366"/>
      <c r="S34" s="367"/>
      <c r="T34" s="427"/>
      <c r="U34" s="428"/>
      <c r="V34" s="428"/>
      <c r="W34" s="428"/>
      <c r="X34" s="428"/>
      <c r="Y34" s="428"/>
      <c r="Z34" s="428"/>
      <c r="AA34" s="366"/>
      <c r="AB34" s="366"/>
      <c r="AC34" s="366"/>
      <c r="AD34" s="366"/>
      <c r="AE34" s="366"/>
      <c r="AF34" s="366"/>
      <c r="AG34" s="366"/>
      <c r="AH34" s="366"/>
      <c r="AI34" s="366"/>
      <c r="AJ34" s="366"/>
      <c r="AK34" s="366"/>
      <c r="AL34" s="366"/>
      <c r="AM34" s="366"/>
      <c r="AN34" s="366"/>
      <c r="AO34" s="366"/>
      <c r="AP34" s="366"/>
      <c r="AQ34" s="367"/>
      <c r="AR34" s="167"/>
      <c r="AS34" s="167"/>
      <c r="AT34" s="167"/>
      <c r="AU34" s="167"/>
      <c r="AV34" s="167"/>
      <c r="AW34" s="167"/>
      <c r="AX34" s="168"/>
    </row>
    <row r="35" spans="2:50" ht="9.75" customHeight="1" thickTop="1">
      <c r="B35" s="166"/>
      <c r="C35" s="167"/>
      <c r="D35" s="167"/>
      <c r="E35" s="167"/>
      <c r="F35" s="167"/>
      <c r="G35" s="167"/>
      <c r="H35" s="438" t="s">
        <v>334</v>
      </c>
      <c r="I35" s="439"/>
      <c r="J35" s="439"/>
      <c r="K35" s="439"/>
      <c r="L35" s="439"/>
      <c r="M35" s="439"/>
      <c r="N35" s="439"/>
      <c r="O35" s="439"/>
      <c r="P35" s="439"/>
      <c r="Q35" s="439"/>
      <c r="R35" s="439"/>
      <c r="S35" s="439"/>
      <c r="T35" s="439" t="str">
        <f>'秘書-input'!B3</f>
        <v>台北市萬華區</v>
      </c>
      <c r="U35" s="439"/>
      <c r="V35" s="439"/>
      <c r="W35" s="439"/>
      <c r="X35" s="439"/>
      <c r="Y35" s="439"/>
      <c r="Z35" s="439"/>
      <c r="AA35" s="439"/>
      <c r="AB35" s="439"/>
      <c r="AC35" s="439" t="str">
        <f>'秘書-input'!C32</f>
        <v>漢中段一小段779-0001地號</v>
      </c>
      <c r="AD35" s="439"/>
      <c r="AE35" s="439"/>
      <c r="AF35" s="439"/>
      <c r="AG35" s="439"/>
      <c r="AH35" s="439"/>
      <c r="AI35" s="439"/>
      <c r="AJ35" s="439"/>
      <c r="AK35" s="439"/>
      <c r="AL35" s="439"/>
      <c r="AM35" s="439"/>
      <c r="AN35" s="439"/>
      <c r="AO35" s="439"/>
      <c r="AP35" s="439"/>
      <c r="AQ35" s="442"/>
      <c r="AR35" s="167"/>
      <c r="AS35" s="167"/>
      <c r="AT35" s="167"/>
      <c r="AU35" s="167"/>
      <c r="AV35" s="167"/>
      <c r="AW35" s="167"/>
      <c r="AX35" s="168"/>
    </row>
    <row r="36" spans="2:50" ht="9.75" customHeight="1" thickBot="1">
      <c r="B36" s="166"/>
      <c r="C36" s="167"/>
      <c r="D36" s="167"/>
      <c r="E36" s="167"/>
      <c r="F36" s="167"/>
      <c r="G36" s="167"/>
      <c r="H36" s="440"/>
      <c r="I36" s="441"/>
      <c r="J36" s="441"/>
      <c r="K36" s="441"/>
      <c r="L36" s="441"/>
      <c r="M36" s="441"/>
      <c r="N36" s="441"/>
      <c r="O36" s="441"/>
      <c r="P36" s="441"/>
      <c r="Q36" s="441"/>
      <c r="R36" s="441"/>
      <c r="S36" s="441"/>
      <c r="T36" s="441"/>
      <c r="U36" s="441"/>
      <c r="V36" s="441"/>
      <c r="W36" s="441"/>
      <c r="X36" s="441"/>
      <c r="Y36" s="441"/>
      <c r="Z36" s="441"/>
      <c r="AA36" s="441"/>
      <c r="AB36" s="441"/>
      <c r="AC36" s="441"/>
      <c r="AD36" s="441"/>
      <c r="AE36" s="441"/>
      <c r="AF36" s="441"/>
      <c r="AG36" s="441"/>
      <c r="AH36" s="441"/>
      <c r="AI36" s="441"/>
      <c r="AJ36" s="441"/>
      <c r="AK36" s="441"/>
      <c r="AL36" s="441"/>
      <c r="AM36" s="441"/>
      <c r="AN36" s="441"/>
      <c r="AO36" s="441"/>
      <c r="AP36" s="441"/>
      <c r="AQ36" s="443"/>
      <c r="AR36" s="167"/>
      <c r="AS36" s="167"/>
      <c r="AT36" s="167"/>
      <c r="AU36" s="167"/>
      <c r="AV36" s="167"/>
      <c r="AW36" s="167"/>
      <c r="AX36" s="168"/>
    </row>
    <row r="37" spans="2:50" ht="9.75" customHeight="1" thickTop="1">
      <c r="B37" s="166"/>
      <c r="C37" s="167"/>
      <c r="D37" s="167"/>
      <c r="E37" s="167"/>
      <c r="F37" s="167"/>
      <c r="G37" s="167"/>
      <c r="H37" s="444" t="s">
        <v>324</v>
      </c>
      <c r="I37" s="433"/>
      <c r="J37" s="433"/>
      <c r="K37" s="433"/>
      <c r="L37" s="433"/>
      <c r="M37" s="433"/>
      <c r="N37" s="433"/>
      <c r="O37" s="433"/>
      <c r="P37" s="433"/>
      <c r="Q37" s="433"/>
      <c r="R37" s="433"/>
      <c r="S37" s="445"/>
      <c r="T37" s="434">
        <f>'秘書-input'!E32</f>
        <v>26</v>
      </c>
      <c r="U37" s="435"/>
      <c r="V37" s="435"/>
      <c r="W37" s="435"/>
      <c r="X37" s="435"/>
      <c r="Y37" s="435"/>
      <c r="Z37" s="435"/>
      <c r="AA37" s="433" t="s">
        <v>335</v>
      </c>
      <c r="AB37" s="433"/>
      <c r="AC37" s="433"/>
      <c r="AD37" s="433"/>
      <c r="AE37" s="433"/>
      <c r="AF37" s="433"/>
      <c r="AG37" s="364" t="s">
        <v>326</v>
      </c>
      <c r="AH37" s="364"/>
      <c r="AI37" s="364"/>
      <c r="AJ37" s="435">
        <f>'秘書-input'!R32</f>
        <v>7.8650000000000002</v>
      </c>
      <c r="AK37" s="435"/>
      <c r="AL37" s="435"/>
      <c r="AM37" s="435"/>
      <c r="AN37" s="435"/>
      <c r="AO37" s="435"/>
      <c r="AP37" s="364" t="s">
        <v>337</v>
      </c>
      <c r="AQ37" s="365"/>
      <c r="AR37" s="167"/>
      <c r="AS37" s="167"/>
      <c r="AT37" s="167"/>
      <c r="AU37" s="167"/>
      <c r="AV37" s="167"/>
      <c r="AW37" s="167"/>
      <c r="AX37" s="168"/>
    </row>
    <row r="38" spans="2:50" ht="9.75" customHeight="1" thickBot="1">
      <c r="B38" s="166"/>
      <c r="C38" s="167"/>
      <c r="D38" s="167"/>
      <c r="E38" s="167"/>
      <c r="F38" s="167"/>
      <c r="G38" s="167"/>
      <c r="H38" s="309"/>
      <c r="I38" s="310"/>
      <c r="J38" s="310"/>
      <c r="K38" s="310"/>
      <c r="L38" s="310"/>
      <c r="M38" s="310"/>
      <c r="N38" s="310"/>
      <c r="O38" s="310"/>
      <c r="P38" s="310"/>
      <c r="Q38" s="310"/>
      <c r="R38" s="310"/>
      <c r="S38" s="446"/>
      <c r="T38" s="436"/>
      <c r="U38" s="437"/>
      <c r="V38" s="437"/>
      <c r="W38" s="437"/>
      <c r="X38" s="437"/>
      <c r="Y38" s="437"/>
      <c r="Z38" s="437"/>
      <c r="AA38" s="310"/>
      <c r="AB38" s="310"/>
      <c r="AC38" s="310"/>
      <c r="AD38" s="310"/>
      <c r="AE38" s="310"/>
      <c r="AF38" s="310"/>
      <c r="AG38" s="366"/>
      <c r="AH38" s="366"/>
      <c r="AI38" s="366"/>
      <c r="AJ38" s="437"/>
      <c r="AK38" s="437"/>
      <c r="AL38" s="437"/>
      <c r="AM38" s="437"/>
      <c r="AN38" s="437"/>
      <c r="AO38" s="437"/>
      <c r="AP38" s="366"/>
      <c r="AQ38" s="367"/>
      <c r="AR38" s="167"/>
      <c r="AS38" s="167"/>
      <c r="AT38" s="167"/>
      <c r="AU38" s="167"/>
      <c r="AV38" s="167"/>
      <c r="AW38" s="167"/>
      <c r="AX38" s="168"/>
    </row>
    <row r="39" spans="2:50" ht="9.75" customHeight="1" thickTop="1">
      <c r="B39" s="166"/>
      <c r="C39" s="167"/>
      <c r="D39" s="167"/>
      <c r="E39" s="167"/>
      <c r="F39" s="167"/>
      <c r="G39" s="167"/>
      <c r="H39" s="375" t="s">
        <v>338</v>
      </c>
      <c r="I39" s="364"/>
      <c r="J39" s="364"/>
      <c r="K39" s="364"/>
      <c r="L39" s="364"/>
      <c r="M39" s="364"/>
      <c r="N39" s="364"/>
      <c r="O39" s="364"/>
      <c r="P39" s="364"/>
      <c r="Q39" s="364"/>
      <c r="R39" s="364"/>
      <c r="S39" s="365"/>
      <c r="T39" s="429">
        <f>'秘書-input'!H32</f>
        <v>10000</v>
      </c>
      <c r="U39" s="430"/>
      <c r="V39" s="430"/>
      <c r="W39" s="430"/>
      <c r="X39" s="430"/>
      <c r="Y39" s="430"/>
      <c r="Z39" s="430"/>
      <c r="AA39" s="433" t="s">
        <v>339</v>
      </c>
      <c r="AB39" s="433"/>
      <c r="AC39" s="433"/>
      <c r="AD39" s="433"/>
      <c r="AE39" s="433"/>
      <c r="AF39" s="433"/>
      <c r="AG39" s="364">
        <f>'秘書-input'!J32</f>
        <v>580</v>
      </c>
      <c r="AH39" s="364"/>
      <c r="AI39" s="364"/>
      <c r="AJ39" s="364"/>
      <c r="AK39" s="364"/>
      <c r="AL39" s="364"/>
      <c r="AM39" s="364"/>
      <c r="AN39" s="364"/>
      <c r="AO39" s="364"/>
      <c r="AP39" s="364"/>
      <c r="AQ39" s="365"/>
      <c r="AR39" s="167"/>
      <c r="AS39" s="167"/>
      <c r="AT39" s="167"/>
      <c r="AU39" s="167"/>
      <c r="AV39" s="167"/>
      <c r="AW39" s="167"/>
      <c r="AX39" s="168"/>
    </row>
    <row r="40" spans="2:50" ht="9.75" customHeight="1" thickBot="1">
      <c r="B40" s="166"/>
      <c r="C40" s="167"/>
      <c r="D40" s="167"/>
      <c r="E40" s="167"/>
      <c r="F40" s="167"/>
      <c r="G40" s="167"/>
      <c r="H40" s="377"/>
      <c r="I40" s="366"/>
      <c r="J40" s="366"/>
      <c r="K40" s="366"/>
      <c r="L40" s="366"/>
      <c r="M40" s="366"/>
      <c r="N40" s="366"/>
      <c r="O40" s="366"/>
      <c r="P40" s="366"/>
      <c r="Q40" s="366"/>
      <c r="R40" s="366"/>
      <c r="S40" s="367"/>
      <c r="T40" s="431"/>
      <c r="U40" s="432"/>
      <c r="V40" s="432"/>
      <c r="W40" s="432"/>
      <c r="X40" s="432"/>
      <c r="Y40" s="432"/>
      <c r="Z40" s="432"/>
      <c r="AA40" s="310"/>
      <c r="AB40" s="310"/>
      <c r="AC40" s="310"/>
      <c r="AD40" s="310"/>
      <c r="AE40" s="310"/>
      <c r="AF40" s="310"/>
      <c r="AG40" s="366"/>
      <c r="AH40" s="366"/>
      <c r="AI40" s="366"/>
      <c r="AJ40" s="366"/>
      <c r="AK40" s="366"/>
      <c r="AL40" s="366"/>
      <c r="AM40" s="366"/>
      <c r="AN40" s="366"/>
      <c r="AO40" s="366"/>
      <c r="AP40" s="366"/>
      <c r="AQ40" s="367"/>
      <c r="AR40" s="167"/>
      <c r="AS40" s="167"/>
      <c r="AT40" s="167"/>
      <c r="AU40" s="167"/>
      <c r="AV40" s="167"/>
      <c r="AW40" s="167"/>
      <c r="AX40" s="168"/>
    </row>
    <row r="41" spans="2:50" ht="9.75" customHeight="1" thickTop="1">
      <c r="B41" s="166"/>
      <c r="C41" s="167"/>
      <c r="D41" s="167"/>
      <c r="E41" s="167"/>
      <c r="F41" s="167"/>
      <c r="G41" s="167"/>
      <c r="H41" s="375" t="s">
        <v>104</v>
      </c>
      <c r="I41" s="364"/>
      <c r="J41" s="364"/>
      <c r="K41" s="364"/>
      <c r="L41" s="364"/>
      <c r="M41" s="364"/>
      <c r="N41" s="364"/>
      <c r="O41" s="364"/>
      <c r="P41" s="364"/>
      <c r="Q41" s="364"/>
      <c r="R41" s="364"/>
      <c r="S41" s="365"/>
      <c r="T41" s="434">
        <f>'秘書-input'!U32</f>
        <v>1.508</v>
      </c>
      <c r="U41" s="435"/>
      <c r="V41" s="435"/>
      <c r="W41" s="435"/>
      <c r="X41" s="435"/>
      <c r="Y41" s="435"/>
      <c r="Z41" s="435"/>
      <c r="AA41" s="433" t="s">
        <v>325</v>
      </c>
      <c r="AB41" s="433"/>
      <c r="AC41" s="433"/>
      <c r="AD41" s="433"/>
      <c r="AE41" s="433"/>
      <c r="AF41" s="433"/>
      <c r="AG41" s="364" t="s">
        <v>326</v>
      </c>
      <c r="AH41" s="364"/>
      <c r="AI41" s="364"/>
      <c r="AJ41" s="435">
        <f>'秘書-input'!X32</f>
        <v>0.45616999999999996</v>
      </c>
      <c r="AK41" s="435"/>
      <c r="AL41" s="435"/>
      <c r="AM41" s="435"/>
      <c r="AN41" s="435"/>
      <c r="AO41" s="435"/>
      <c r="AP41" s="364" t="s">
        <v>340</v>
      </c>
      <c r="AQ41" s="365"/>
      <c r="AR41" s="167"/>
      <c r="AS41" s="167"/>
      <c r="AT41" s="167"/>
      <c r="AU41" s="167"/>
      <c r="AV41" s="167"/>
      <c r="AW41" s="167"/>
      <c r="AX41" s="168"/>
    </row>
    <row r="42" spans="2:50" ht="9.75" customHeight="1" thickBot="1">
      <c r="B42" s="166"/>
      <c r="C42" s="167"/>
      <c r="D42" s="167"/>
      <c r="E42" s="167"/>
      <c r="F42" s="167"/>
      <c r="G42" s="167"/>
      <c r="H42" s="377"/>
      <c r="I42" s="366"/>
      <c r="J42" s="366"/>
      <c r="K42" s="366"/>
      <c r="L42" s="366"/>
      <c r="M42" s="366"/>
      <c r="N42" s="366"/>
      <c r="O42" s="366"/>
      <c r="P42" s="366"/>
      <c r="Q42" s="366"/>
      <c r="R42" s="366"/>
      <c r="S42" s="367"/>
      <c r="T42" s="436"/>
      <c r="U42" s="437"/>
      <c r="V42" s="437"/>
      <c r="W42" s="437"/>
      <c r="X42" s="437"/>
      <c r="Y42" s="437"/>
      <c r="Z42" s="437"/>
      <c r="AA42" s="310"/>
      <c r="AB42" s="310"/>
      <c r="AC42" s="310"/>
      <c r="AD42" s="310"/>
      <c r="AE42" s="310"/>
      <c r="AF42" s="310"/>
      <c r="AG42" s="366"/>
      <c r="AH42" s="366"/>
      <c r="AI42" s="366"/>
      <c r="AJ42" s="437"/>
      <c r="AK42" s="437"/>
      <c r="AL42" s="437"/>
      <c r="AM42" s="437"/>
      <c r="AN42" s="437"/>
      <c r="AO42" s="437"/>
      <c r="AP42" s="366"/>
      <c r="AQ42" s="367"/>
      <c r="AR42" s="167"/>
      <c r="AS42" s="167"/>
      <c r="AT42" s="167"/>
      <c r="AU42" s="167"/>
      <c r="AV42" s="167"/>
      <c r="AW42" s="167"/>
      <c r="AX42" s="168"/>
    </row>
    <row r="43" spans="2:50" ht="9.75" customHeight="1" thickTop="1">
      <c r="B43" s="166"/>
      <c r="C43" s="167"/>
      <c r="D43" s="167"/>
      <c r="E43" s="167"/>
      <c r="F43" s="167"/>
      <c r="G43" s="167"/>
      <c r="H43" s="375" t="s">
        <v>341</v>
      </c>
      <c r="I43" s="364"/>
      <c r="J43" s="364"/>
      <c r="K43" s="364"/>
      <c r="L43" s="364"/>
      <c r="M43" s="364"/>
      <c r="N43" s="364"/>
      <c r="O43" s="364"/>
      <c r="P43" s="364"/>
      <c r="Q43" s="364"/>
      <c r="R43" s="364"/>
      <c r="S43" s="365"/>
      <c r="T43" s="375" t="str">
        <f>'秘書-input'!L32</f>
        <v>商四</v>
      </c>
      <c r="U43" s="364"/>
      <c r="V43" s="364"/>
      <c r="W43" s="364"/>
      <c r="X43" s="364"/>
      <c r="Y43" s="364"/>
      <c r="Z43" s="364"/>
      <c r="AA43" s="364"/>
      <c r="AB43" s="364"/>
      <c r="AC43" s="364"/>
      <c r="AD43" s="364"/>
      <c r="AE43" s="364"/>
      <c r="AF43" s="364"/>
      <c r="AG43" s="364"/>
      <c r="AH43" s="364"/>
      <c r="AI43" s="364"/>
      <c r="AJ43" s="364"/>
      <c r="AK43" s="364"/>
      <c r="AL43" s="364"/>
      <c r="AM43" s="364"/>
      <c r="AN43" s="364"/>
      <c r="AO43" s="364"/>
      <c r="AP43" s="364"/>
      <c r="AQ43" s="365"/>
      <c r="AR43" s="167"/>
      <c r="AS43" s="167"/>
      <c r="AT43" s="167"/>
      <c r="AU43" s="167"/>
      <c r="AV43" s="167"/>
      <c r="AW43" s="167"/>
      <c r="AX43" s="168"/>
    </row>
    <row r="44" spans="2:50" ht="9.75" customHeight="1" thickBot="1">
      <c r="B44" s="166"/>
      <c r="C44" s="167"/>
      <c r="D44" s="167"/>
      <c r="E44" s="167"/>
      <c r="F44" s="167"/>
      <c r="G44" s="167"/>
      <c r="H44" s="377"/>
      <c r="I44" s="366"/>
      <c r="J44" s="366"/>
      <c r="K44" s="366"/>
      <c r="L44" s="366"/>
      <c r="M44" s="366"/>
      <c r="N44" s="366"/>
      <c r="O44" s="366"/>
      <c r="P44" s="366"/>
      <c r="Q44" s="366"/>
      <c r="R44" s="366"/>
      <c r="S44" s="367"/>
      <c r="T44" s="377"/>
      <c r="U44" s="366"/>
      <c r="V44" s="366"/>
      <c r="W44" s="366"/>
      <c r="X44" s="366"/>
      <c r="Y44" s="366"/>
      <c r="Z44" s="366"/>
      <c r="AA44" s="366"/>
      <c r="AB44" s="366"/>
      <c r="AC44" s="366"/>
      <c r="AD44" s="366"/>
      <c r="AE44" s="366"/>
      <c r="AF44" s="366"/>
      <c r="AG44" s="366"/>
      <c r="AH44" s="366"/>
      <c r="AI44" s="366"/>
      <c r="AJ44" s="366"/>
      <c r="AK44" s="366"/>
      <c r="AL44" s="366"/>
      <c r="AM44" s="366"/>
      <c r="AN44" s="366"/>
      <c r="AO44" s="366"/>
      <c r="AP44" s="366"/>
      <c r="AQ44" s="367"/>
      <c r="AR44" s="167"/>
      <c r="AS44" s="167"/>
      <c r="AT44" s="167"/>
      <c r="AU44" s="167"/>
      <c r="AV44" s="167"/>
      <c r="AW44" s="167"/>
      <c r="AX44" s="168"/>
    </row>
    <row r="45" spans="2:50" ht="9.75" customHeight="1" thickTop="1">
      <c r="B45" s="166"/>
      <c r="C45" s="167"/>
      <c r="D45" s="167"/>
      <c r="E45" s="167"/>
      <c r="F45" s="167"/>
      <c r="G45" s="167"/>
      <c r="H45" s="375" t="s">
        <v>331</v>
      </c>
      <c r="I45" s="364"/>
      <c r="J45" s="364"/>
      <c r="K45" s="364"/>
      <c r="L45" s="364"/>
      <c r="M45" s="364"/>
      <c r="N45" s="364"/>
      <c r="O45" s="364"/>
      <c r="P45" s="364"/>
      <c r="Q45" s="364"/>
      <c r="R45" s="364"/>
      <c r="S45" s="365"/>
      <c r="T45" s="425">
        <f>'秘書-input'!N32</f>
        <v>0.75</v>
      </c>
      <c r="U45" s="426"/>
      <c r="V45" s="426"/>
      <c r="W45" s="426"/>
      <c r="X45" s="426"/>
      <c r="Y45" s="426"/>
      <c r="Z45" s="426"/>
      <c r="AA45" s="364" t="s">
        <v>332</v>
      </c>
      <c r="AB45" s="364"/>
      <c r="AC45" s="364"/>
      <c r="AD45" s="364"/>
      <c r="AE45" s="364"/>
      <c r="AF45" s="364"/>
      <c r="AG45" s="364"/>
      <c r="AH45" s="364"/>
      <c r="AI45" s="364"/>
      <c r="AJ45" s="364"/>
      <c r="AK45" s="364"/>
      <c r="AL45" s="364"/>
      <c r="AM45" s="364"/>
      <c r="AN45" s="364"/>
      <c r="AO45" s="364"/>
      <c r="AP45" s="364"/>
      <c r="AQ45" s="365"/>
      <c r="AR45" s="167"/>
      <c r="AS45" s="167"/>
      <c r="AT45" s="167"/>
      <c r="AU45" s="167"/>
      <c r="AV45" s="167"/>
      <c r="AW45" s="167"/>
      <c r="AX45" s="168"/>
    </row>
    <row r="46" spans="2:50" ht="9.75" customHeight="1" thickBot="1">
      <c r="B46" s="166"/>
      <c r="C46" s="167"/>
      <c r="D46" s="167"/>
      <c r="E46" s="167"/>
      <c r="F46" s="167"/>
      <c r="G46" s="167"/>
      <c r="H46" s="377"/>
      <c r="I46" s="366"/>
      <c r="J46" s="366"/>
      <c r="K46" s="366"/>
      <c r="L46" s="366"/>
      <c r="M46" s="366"/>
      <c r="N46" s="366"/>
      <c r="O46" s="366"/>
      <c r="P46" s="366"/>
      <c r="Q46" s="366"/>
      <c r="R46" s="366"/>
      <c r="S46" s="367"/>
      <c r="T46" s="427"/>
      <c r="U46" s="428"/>
      <c r="V46" s="428"/>
      <c r="W46" s="428"/>
      <c r="X46" s="428"/>
      <c r="Y46" s="428"/>
      <c r="Z46" s="428"/>
      <c r="AA46" s="366"/>
      <c r="AB46" s="366"/>
      <c r="AC46" s="366"/>
      <c r="AD46" s="366"/>
      <c r="AE46" s="366"/>
      <c r="AF46" s="366"/>
      <c r="AG46" s="366"/>
      <c r="AH46" s="366"/>
      <c r="AI46" s="366"/>
      <c r="AJ46" s="366"/>
      <c r="AK46" s="366"/>
      <c r="AL46" s="366"/>
      <c r="AM46" s="366"/>
      <c r="AN46" s="366"/>
      <c r="AO46" s="366"/>
      <c r="AP46" s="366"/>
      <c r="AQ46" s="367"/>
      <c r="AR46" s="167"/>
      <c r="AS46" s="167"/>
      <c r="AT46" s="167"/>
      <c r="AU46" s="167"/>
      <c r="AV46" s="167"/>
      <c r="AW46" s="167"/>
      <c r="AX46" s="168"/>
    </row>
    <row r="47" spans="2:50" ht="9.75" customHeight="1" thickTop="1">
      <c r="B47" s="166"/>
      <c r="C47" s="167"/>
      <c r="D47" s="167"/>
      <c r="E47" s="167"/>
      <c r="F47" s="167"/>
      <c r="G47" s="167"/>
      <c r="H47" s="375" t="s">
        <v>333</v>
      </c>
      <c r="I47" s="364"/>
      <c r="J47" s="364"/>
      <c r="K47" s="364"/>
      <c r="L47" s="364"/>
      <c r="M47" s="364"/>
      <c r="N47" s="364"/>
      <c r="O47" s="364"/>
      <c r="P47" s="364"/>
      <c r="Q47" s="364"/>
      <c r="R47" s="364"/>
      <c r="S47" s="365"/>
      <c r="T47" s="425">
        <f>'秘書-input'!P32</f>
        <v>8</v>
      </c>
      <c r="U47" s="426"/>
      <c r="V47" s="426"/>
      <c r="W47" s="426"/>
      <c r="X47" s="426"/>
      <c r="Y47" s="426"/>
      <c r="Z47" s="426"/>
      <c r="AA47" s="364" t="s">
        <v>107</v>
      </c>
      <c r="AB47" s="364"/>
      <c r="AC47" s="364"/>
      <c r="AD47" s="364"/>
      <c r="AE47" s="364"/>
      <c r="AF47" s="364"/>
      <c r="AG47" s="364"/>
      <c r="AH47" s="364"/>
      <c r="AI47" s="364"/>
      <c r="AJ47" s="364"/>
      <c r="AK47" s="364"/>
      <c r="AL47" s="364"/>
      <c r="AM47" s="364"/>
      <c r="AN47" s="364"/>
      <c r="AO47" s="364"/>
      <c r="AP47" s="364"/>
      <c r="AQ47" s="365"/>
      <c r="AR47" s="167"/>
      <c r="AS47" s="167"/>
      <c r="AT47" s="167"/>
      <c r="AU47" s="167"/>
      <c r="AV47" s="167"/>
      <c r="AW47" s="167"/>
      <c r="AX47" s="168"/>
    </row>
    <row r="48" spans="2:50" ht="9.75" customHeight="1" thickBot="1">
      <c r="B48" s="166"/>
      <c r="C48" s="167"/>
      <c r="D48" s="167"/>
      <c r="E48" s="167"/>
      <c r="F48" s="167"/>
      <c r="G48" s="167"/>
      <c r="H48" s="377"/>
      <c r="I48" s="366"/>
      <c r="J48" s="366"/>
      <c r="K48" s="366"/>
      <c r="L48" s="366"/>
      <c r="M48" s="366"/>
      <c r="N48" s="366"/>
      <c r="O48" s="366"/>
      <c r="P48" s="366"/>
      <c r="Q48" s="366"/>
      <c r="R48" s="366"/>
      <c r="S48" s="367"/>
      <c r="T48" s="427"/>
      <c r="U48" s="428"/>
      <c r="V48" s="428"/>
      <c r="W48" s="428"/>
      <c r="X48" s="428"/>
      <c r="Y48" s="428"/>
      <c r="Z48" s="428"/>
      <c r="AA48" s="366"/>
      <c r="AB48" s="366"/>
      <c r="AC48" s="366"/>
      <c r="AD48" s="366"/>
      <c r="AE48" s="366"/>
      <c r="AF48" s="366"/>
      <c r="AG48" s="366"/>
      <c r="AH48" s="366"/>
      <c r="AI48" s="366"/>
      <c r="AJ48" s="366"/>
      <c r="AK48" s="366"/>
      <c r="AL48" s="366"/>
      <c r="AM48" s="366"/>
      <c r="AN48" s="366"/>
      <c r="AO48" s="366"/>
      <c r="AP48" s="366"/>
      <c r="AQ48" s="367"/>
      <c r="AR48" s="167"/>
      <c r="AS48" s="167"/>
      <c r="AT48" s="167"/>
      <c r="AU48" s="167"/>
      <c r="AV48" s="167"/>
      <c r="AW48" s="167"/>
      <c r="AX48" s="168"/>
    </row>
    <row r="49" spans="2:50" ht="9.75" customHeight="1" thickTop="1">
      <c r="B49" s="166"/>
      <c r="C49" s="167"/>
      <c r="D49" s="167"/>
      <c r="E49" s="167"/>
      <c r="F49" s="167"/>
      <c r="G49" s="167"/>
      <c r="H49" s="438" t="s">
        <v>100</v>
      </c>
      <c r="I49" s="439"/>
      <c r="J49" s="439"/>
      <c r="K49" s="439"/>
      <c r="L49" s="439"/>
      <c r="M49" s="439"/>
      <c r="N49" s="439"/>
      <c r="O49" s="439"/>
      <c r="P49" s="439"/>
      <c r="Q49" s="439"/>
      <c r="R49" s="439"/>
      <c r="S49" s="439"/>
      <c r="T49" s="439" t="str">
        <f>'秘書-input'!B3</f>
        <v>台北市萬華區</v>
      </c>
      <c r="U49" s="439"/>
      <c r="V49" s="439"/>
      <c r="W49" s="439"/>
      <c r="X49" s="439"/>
      <c r="Y49" s="439"/>
      <c r="Z49" s="439"/>
      <c r="AA49" s="439"/>
      <c r="AB49" s="439"/>
      <c r="AC49" s="439" t="str">
        <f>'秘書-input'!C33</f>
        <v>漢中段一小段780地號</v>
      </c>
      <c r="AD49" s="439"/>
      <c r="AE49" s="439"/>
      <c r="AF49" s="439"/>
      <c r="AG49" s="439"/>
      <c r="AH49" s="439"/>
      <c r="AI49" s="439"/>
      <c r="AJ49" s="439"/>
      <c r="AK49" s="439"/>
      <c r="AL49" s="439"/>
      <c r="AM49" s="439"/>
      <c r="AN49" s="439"/>
      <c r="AO49" s="439"/>
      <c r="AP49" s="439"/>
      <c r="AQ49" s="442"/>
      <c r="AR49" s="167"/>
      <c r="AS49" s="167"/>
      <c r="AT49" s="167"/>
      <c r="AU49" s="167"/>
      <c r="AV49" s="167"/>
      <c r="AW49" s="167"/>
      <c r="AX49" s="168"/>
    </row>
    <row r="50" spans="2:50" ht="9.75" customHeight="1" thickBot="1">
      <c r="B50" s="166"/>
      <c r="C50" s="167"/>
      <c r="D50" s="167"/>
      <c r="E50" s="167"/>
      <c r="F50" s="167"/>
      <c r="G50" s="167"/>
      <c r="H50" s="440"/>
      <c r="I50" s="441"/>
      <c r="J50" s="441"/>
      <c r="K50" s="441"/>
      <c r="L50" s="441"/>
      <c r="M50" s="441"/>
      <c r="N50" s="441"/>
      <c r="O50" s="441"/>
      <c r="P50" s="441"/>
      <c r="Q50" s="441"/>
      <c r="R50" s="441"/>
      <c r="S50" s="441"/>
      <c r="T50" s="441"/>
      <c r="U50" s="441"/>
      <c r="V50" s="441"/>
      <c r="W50" s="441"/>
      <c r="X50" s="441"/>
      <c r="Y50" s="441"/>
      <c r="Z50" s="441"/>
      <c r="AA50" s="441"/>
      <c r="AB50" s="441"/>
      <c r="AC50" s="441"/>
      <c r="AD50" s="441"/>
      <c r="AE50" s="441"/>
      <c r="AF50" s="441"/>
      <c r="AG50" s="441"/>
      <c r="AH50" s="441"/>
      <c r="AI50" s="441"/>
      <c r="AJ50" s="441"/>
      <c r="AK50" s="441"/>
      <c r="AL50" s="441"/>
      <c r="AM50" s="441"/>
      <c r="AN50" s="441"/>
      <c r="AO50" s="441"/>
      <c r="AP50" s="441"/>
      <c r="AQ50" s="443"/>
      <c r="AR50" s="167"/>
      <c r="AS50" s="167"/>
      <c r="AT50" s="167"/>
      <c r="AU50" s="167"/>
      <c r="AV50" s="167"/>
      <c r="AW50" s="167"/>
      <c r="AX50" s="168"/>
    </row>
    <row r="51" spans="2:50" ht="9.75" customHeight="1" thickTop="1">
      <c r="B51" s="166"/>
      <c r="C51" s="167"/>
      <c r="D51" s="167"/>
      <c r="E51" s="167"/>
      <c r="F51" s="167"/>
      <c r="G51" s="167"/>
      <c r="H51" s="444" t="s">
        <v>342</v>
      </c>
      <c r="I51" s="433"/>
      <c r="J51" s="433"/>
      <c r="K51" s="433"/>
      <c r="L51" s="433"/>
      <c r="M51" s="433"/>
      <c r="N51" s="433"/>
      <c r="O51" s="433"/>
      <c r="P51" s="433"/>
      <c r="Q51" s="433"/>
      <c r="R51" s="433"/>
      <c r="S51" s="445"/>
      <c r="T51" s="434">
        <f>'秘書-input'!E33</f>
        <v>37</v>
      </c>
      <c r="U51" s="435"/>
      <c r="V51" s="435"/>
      <c r="W51" s="435"/>
      <c r="X51" s="435"/>
      <c r="Y51" s="435"/>
      <c r="Z51" s="435"/>
      <c r="AA51" s="433" t="s">
        <v>343</v>
      </c>
      <c r="AB51" s="433"/>
      <c r="AC51" s="433"/>
      <c r="AD51" s="433"/>
      <c r="AE51" s="433"/>
      <c r="AF51" s="433"/>
      <c r="AG51" s="364" t="s">
        <v>344</v>
      </c>
      <c r="AH51" s="364"/>
      <c r="AI51" s="364"/>
      <c r="AJ51" s="435">
        <f>'秘書-input'!R33</f>
        <v>11.192499999999999</v>
      </c>
      <c r="AK51" s="435"/>
      <c r="AL51" s="435"/>
      <c r="AM51" s="435"/>
      <c r="AN51" s="435"/>
      <c r="AO51" s="435"/>
      <c r="AP51" s="364" t="s">
        <v>318</v>
      </c>
      <c r="AQ51" s="365"/>
      <c r="AR51" s="167"/>
      <c r="AS51" s="167"/>
      <c r="AT51" s="167"/>
      <c r="AU51" s="167"/>
      <c r="AV51" s="167"/>
      <c r="AW51" s="167"/>
      <c r="AX51" s="168"/>
    </row>
    <row r="52" spans="2:50" ht="9.75" customHeight="1" thickBot="1">
      <c r="B52" s="166"/>
      <c r="C52" s="167"/>
      <c r="D52" s="167"/>
      <c r="E52" s="167"/>
      <c r="F52" s="167"/>
      <c r="G52" s="167"/>
      <c r="H52" s="309"/>
      <c r="I52" s="310"/>
      <c r="J52" s="310"/>
      <c r="K52" s="310"/>
      <c r="L52" s="310"/>
      <c r="M52" s="310"/>
      <c r="N52" s="310"/>
      <c r="O52" s="310"/>
      <c r="P52" s="310"/>
      <c r="Q52" s="310"/>
      <c r="R52" s="310"/>
      <c r="S52" s="446"/>
      <c r="T52" s="436"/>
      <c r="U52" s="437"/>
      <c r="V52" s="437"/>
      <c r="W52" s="437"/>
      <c r="X52" s="437"/>
      <c r="Y52" s="437"/>
      <c r="Z52" s="437"/>
      <c r="AA52" s="310"/>
      <c r="AB52" s="310"/>
      <c r="AC52" s="310"/>
      <c r="AD52" s="310"/>
      <c r="AE52" s="310"/>
      <c r="AF52" s="310"/>
      <c r="AG52" s="366"/>
      <c r="AH52" s="366"/>
      <c r="AI52" s="366"/>
      <c r="AJ52" s="437"/>
      <c r="AK52" s="437"/>
      <c r="AL52" s="437"/>
      <c r="AM52" s="437"/>
      <c r="AN52" s="437"/>
      <c r="AO52" s="437"/>
      <c r="AP52" s="366"/>
      <c r="AQ52" s="367"/>
      <c r="AR52" s="167"/>
      <c r="AS52" s="167"/>
      <c r="AT52" s="167"/>
      <c r="AU52" s="167"/>
      <c r="AV52" s="167"/>
      <c r="AW52" s="167"/>
      <c r="AX52" s="168"/>
    </row>
    <row r="53" spans="2:50" ht="9.75" customHeight="1" thickTop="1">
      <c r="B53" s="166"/>
      <c r="C53" s="167"/>
      <c r="D53" s="167"/>
      <c r="E53" s="167"/>
      <c r="F53" s="167"/>
      <c r="G53" s="167"/>
      <c r="H53" s="375" t="s">
        <v>327</v>
      </c>
      <c r="I53" s="364"/>
      <c r="J53" s="364"/>
      <c r="K53" s="364"/>
      <c r="L53" s="364"/>
      <c r="M53" s="364"/>
      <c r="N53" s="364"/>
      <c r="O53" s="364"/>
      <c r="P53" s="364"/>
      <c r="Q53" s="364"/>
      <c r="R53" s="364"/>
      <c r="S53" s="365"/>
      <c r="T53" s="429">
        <f>'秘書-input'!H33</f>
        <v>10000</v>
      </c>
      <c r="U53" s="430"/>
      <c r="V53" s="430"/>
      <c r="W53" s="430"/>
      <c r="X53" s="430"/>
      <c r="Y53" s="430"/>
      <c r="Z53" s="430"/>
      <c r="AA53" s="433" t="s">
        <v>328</v>
      </c>
      <c r="AB53" s="433"/>
      <c r="AC53" s="433"/>
      <c r="AD53" s="433"/>
      <c r="AE53" s="433"/>
      <c r="AF53" s="433"/>
      <c r="AG53" s="364">
        <f>'秘書-input'!J33</f>
        <v>580</v>
      </c>
      <c r="AH53" s="364"/>
      <c r="AI53" s="364"/>
      <c r="AJ53" s="364"/>
      <c r="AK53" s="364"/>
      <c r="AL53" s="364"/>
      <c r="AM53" s="364"/>
      <c r="AN53" s="364"/>
      <c r="AO53" s="364"/>
      <c r="AP53" s="364"/>
      <c r="AQ53" s="365"/>
      <c r="AR53" s="167"/>
      <c r="AS53" s="167"/>
      <c r="AT53" s="167"/>
      <c r="AU53" s="167"/>
      <c r="AV53" s="167"/>
      <c r="AW53" s="167"/>
      <c r="AX53" s="168"/>
    </row>
    <row r="54" spans="2:50" ht="9.75" customHeight="1" thickBot="1">
      <c r="B54" s="166"/>
      <c r="C54" s="167"/>
      <c r="D54" s="167"/>
      <c r="E54" s="167"/>
      <c r="F54" s="167"/>
      <c r="G54" s="167"/>
      <c r="H54" s="377"/>
      <c r="I54" s="366"/>
      <c r="J54" s="366"/>
      <c r="K54" s="366"/>
      <c r="L54" s="366"/>
      <c r="M54" s="366"/>
      <c r="N54" s="366"/>
      <c r="O54" s="366"/>
      <c r="P54" s="366"/>
      <c r="Q54" s="366"/>
      <c r="R54" s="366"/>
      <c r="S54" s="367"/>
      <c r="T54" s="431"/>
      <c r="U54" s="432"/>
      <c r="V54" s="432"/>
      <c r="W54" s="432"/>
      <c r="X54" s="432"/>
      <c r="Y54" s="432"/>
      <c r="Z54" s="432"/>
      <c r="AA54" s="310"/>
      <c r="AB54" s="310"/>
      <c r="AC54" s="310"/>
      <c r="AD54" s="310"/>
      <c r="AE54" s="310"/>
      <c r="AF54" s="310"/>
      <c r="AG54" s="366"/>
      <c r="AH54" s="366"/>
      <c r="AI54" s="366"/>
      <c r="AJ54" s="366"/>
      <c r="AK54" s="366"/>
      <c r="AL54" s="366"/>
      <c r="AM54" s="366"/>
      <c r="AN54" s="366"/>
      <c r="AO54" s="366"/>
      <c r="AP54" s="366"/>
      <c r="AQ54" s="367"/>
      <c r="AR54" s="167"/>
      <c r="AS54" s="167"/>
      <c r="AT54" s="167"/>
      <c r="AU54" s="167"/>
      <c r="AV54" s="167"/>
      <c r="AW54" s="167"/>
      <c r="AX54" s="168"/>
    </row>
    <row r="55" spans="2:50" ht="9.75" customHeight="1" thickTop="1">
      <c r="B55" s="166"/>
      <c r="C55" s="167"/>
      <c r="D55" s="167"/>
      <c r="E55" s="167"/>
      <c r="F55" s="167"/>
      <c r="G55" s="167"/>
      <c r="H55" s="375" t="s">
        <v>104</v>
      </c>
      <c r="I55" s="364"/>
      <c r="J55" s="364"/>
      <c r="K55" s="364"/>
      <c r="L55" s="364"/>
      <c r="M55" s="364"/>
      <c r="N55" s="364"/>
      <c r="O55" s="364"/>
      <c r="P55" s="364"/>
      <c r="Q55" s="364"/>
      <c r="R55" s="364"/>
      <c r="S55" s="365"/>
      <c r="T55" s="434">
        <f>'秘書-input'!U33</f>
        <v>2.1459999999999999</v>
      </c>
      <c r="U55" s="435"/>
      <c r="V55" s="435"/>
      <c r="W55" s="435"/>
      <c r="X55" s="435"/>
      <c r="Y55" s="435"/>
      <c r="Z55" s="435"/>
      <c r="AA55" s="433" t="s">
        <v>325</v>
      </c>
      <c r="AB55" s="433"/>
      <c r="AC55" s="433"/>
      <c r="AD55" s="433"/>
      <c r="AE55" s="433"/>
      <c r="AF55" s="433"/>
      <c r="AG55" s="364" t="s">
        <v>326</v>
      </c>
      <c r="AH55" s="364"/>
      <c r="AI55" s="364"/>
      <c r="AJ55" s="435">
        <f>'秘書-input'!X33</f>
        <v>0.64916499999999999</v>
      </c>
      <c r="AK55" s="435"/>
      <c r="AL55" s="435"/>
      <c r="AM55" s="435"/>
      <c r="AN55" s="435"/>
      <c r="AO55" s="435"/>
      <c r="AP55" s="364" t="s">
        <v>345</v>
      </c>
      <c r="AQ55" s="365"/>
      <c r="AR55" s="167"/>
      <c r="AS55" s="167"/>
      <c r="AT55" s="167"/>
      <c r="AU55" s="167"/>
      <c r="AV55" s="167"/>
      <c r="AW55" s="167"/>
      <c r="AX55" s="168"/>
    </row>
    <row r="56" spans="2:50" ht="9.75" customHeight="1" thickBot="1">
      <c r="B56" s="166"/>
      <c r="C56" s="167"/>
      <c r="D56" s="167"/>
      <c r="E56" s="167"/>
      <c r="F56" s="167"/>
      <c r="G56" s="167"/>
      <c r="H56" s="377"/>
      <c r="I56" s="366"/>
      <c r="J56" s="366"/>
      <c r="K56" s="366"/>
      <c r="L56" s="366"/>
      <c r="M56" s="366"/>
      <c r="N56" s="366"/>
      <c r="O56" s="366"/>
      <c r="P56" s="366"/>
      <c r="Q56" s="366"/>
      <c r="R56" s="366"/>
      <c r="S56" s="367"/>
      <c r="T56" s="436"/>
      <c r="U56" s="437"/>
      <c r="V56" s="437"/>
      <c r="W56" s="437"/>
      <c r="X56" s="437"/>
      <c r="Y56" s="437"/>
      <c r="Z56" s="437"/>
      <c r="AA56" s="310"/>
      <c r="AB56" s="310"/>
      <c r="AC56" s="310"/>
      <c r="AD56" s="310"/>
      <c r="AE56" s="310"/>
      <c r="AF56" s="310"/>
      <c r="AG56" s="366"/>
      <c r="AH56" s="366"/>
      <c r="AI56" s="366"/>
      <c r="AJ56" s="437"/>
      <c r="AK56" s="437"/>
      <c r="AL56" s="437"/>
      <c r="AM56" s="437"/>
      <c r="AN56" s="437"/>
      <c r="AO56" s="437"/>
      <c r="AP56" s="366"/>
      <c r="AQ56" s="367"/>
      <c r="AR56" s="167"/>
      <c r="AS56" s="167"/>
      <c r="AT56" s="167"/>
      <c r="AU56" s="167"/>
      <c r="AV56" s="167"/>
      <c r="AW56" s="167"/>
      <c r="AX56" s="168"/>
    </row>
    <row r="57" spans="2:50" ht="9.75" customHeight="1" thickTop="1">
      <c r="B57" s="166"/>
      <c r="C57" s="167"/>
      <c r="D57" s="167"/>
      <c r="E57" s="167"/>
      <c r="F57" s="167"/>
      <c r="G57" s="167"/>
      <c r="H57" s="375" t="s">
        <v>346</v>
      </c>
      <c r="I57" s="364"/>
      <c r="J57" s="364"/>
      <c r="K57" s="364"/>
      <c r="L57" s="364"/>
      <c r="M57" s="364"/>
      <c r="N57" s="364"/>
      <c r="O57" s="364"/>
      <c r="P57" s="364"/>
      <c r="Q57" s="364"/>
      <c r="R57" s="364"/>
      <c r="S57" s="365"/>
      <c r="T57" s="375" t="str">
        <f>'秘書-input'!L33</f>
        <v>商四</v>
      </c>
      <c r="U57" s="364"/>
      <c r="V57" s="364"/>
      <c r="W57" s="364"/>
      <c r="X57" s="364"/>
      <c r="Y57" s="364"/>
      <c r="Z57" s="364"/>
      <c r="AA57" s="364"/>
      <c r="AB57" s="364"/>
      <c r="AC57" s="364"/>
      <c r="AD57" s="364"/>
      <c r="AE57" s="364"/>
      <c r="AF57" s="364"/>
      <c r="AG57" s="364"/>
      <c r="AH57" s="364"/>
      <c r="AI57" s="364"/>
      <c r="AJ57" s="364"/>
      <c r="AK57" s="364"/>
      <c r="AL57" s="364"/>
      <c r="AM57" s="364"/>
      <c r="AN57" s="364"/>
      <c r="AO57" s="364"/>
      <c r="AP57" s="364"/>
      <c r="AQ57" s="365"/>
      <c r="AR57" s="167"/>
      <c r="AS57" s="167"/>
      <c r="AT57" s="167"/>
      <c r="AU57" s="167"/>
      <c r="AV57" s="167"/>
      <c r="AW57" s="167"/>
      <c r="AX57" s="168"/>
    </row>
    <row r="58" spans="2:50" ht="9.75" customHeight="1" thickBot="1">
      <c r="B58" s="166"/>
      <c r="C58" s="167"/>
      <c r="D58" s="167"/>
      <c r="E58" s="167"/>
      <c r="F58" s="167"/>
      <c r="G58" s="167"/>
      <c r="H58" s="377"/>
      <c r="I58" s="366"/>
      <c r="J58" s="366"/>
      <c r="K58" s="366"/>
      <c r="L58" s="366"/>
      <c r="M58" s="366"/>
      <c r="N58" s="366"/>
      <c r="O58" s="366"/>
      <c r="P58" s="366"/>
      <c r="Q58" s="366"/>
      <c r="R58" s="366"/>
      <c r="S58" s="367"/>
      <c r="T58" s="377"/>
      <c r="U58" s="366"/>
      <c r="V58" s="366"/>
      <c r="W58" s="366"/>
      <c r="X58" s="366"/>
      <c r="Y58" s="366"/>
      <c r="Z58" s="366"/>
      <c r="AA58" s="366"/>
      <c r="AB58" s="366"/>
      <c r="AC58" s="366"/>
      <c r="AD58" s="366"/>
      <c r="AE58" s="366"/>
      <c r="AF58" s="366"/>
      <c r="AG58" s="366"/>
      <c r="AH58" s="366"/>
      <c r="AI58" s="366"/>
      <c r="AJ58" s="366"/>
      <c r="AK58" s="366"/>
      <c r="AL58" s="366"/>
      <c r="AM58" s="366"/>
      <c r="AN58" s="366"/>
      <c r="AO58" s="366"/>
      <c r="AP58" s="366"/>
      <c r="AQ58" s="367"/>
      <c r="AR58" s="167"/>
      <c r="AS58" s="167"/>
      <c r="AT58" s="167"/>
      <c r="AU58" s="167"/>
      <c r="AV58" s="167"/>
      <c r="AW58" s="167"/>
      <c r="AX58" s="168"/>
    </row>
    <row r="59" spans="2:50" ht="9.75" customHeight="1" thickTop="1">
      <c r="B59" s="166"/>
      <c r="C59" s="167"/>
      <c r="D59" s="167"/>
      <c r="E59" s="167"/>
      <c r="F59" s="167"/>
      <c r="G59" s="167"/>
      <c r="H59" s="375" t="s">
        <v>106</v>
      </c>
      <c r="I59" s="364"/>
      <c r="J59" s="364"/>
      <c r="K59" s="364"/>
      <c r="L59" s="364"/>
      <c r="M59" s="364"/>
      <c r="N59" s="364"/>
      <c r="O59" s="364"/>
      <c r="P59" s="364"/>
      <c r="Q59" s="364"/>
      <c r="R59" s="364"/>
      <c r="S59" s="365"/>
      <c r="T59" s="425">
        <f>'秘書-input'!N33</f>
        <v>0.75</v>
      </c>
      <c r="U59" s="426"/>
      <c r="V59" s="426"/>
      <c r="W59" s="426"/>
      <c r="X59" s="426"/>
      <c r="Y59" s="426"/>
      <c r="Z59" s="426"/>
      <c r="AA59" s="364" t="s">
        <v>107</v>
      </c>
      <c r="AB59" s="364"/>
      <c r="AC59" s="364"/>
      <c r="AD59" s="364"/>
      <c r="AE59" s="364"/>
      <c r="AF59" s="364"/>
      <c r="AG59" s="364"/>
      <c r="AH59" s="364"/>
      <c r="AI59" s="364"/>
      <c r="AJ59" s="364"/>
      <c r="AK59" s="364"/>
      <c r="AL59" s="364"/>
      <c r="AM59" s="364"/>
      <c r="AN59" s="364"/>
      <c r="AO59" s="364"/>
      <c r="AP59" s="364"/>
      <c r="AQ59" s="365"/>
      <c r="AR59" s="167"/>
      <c r="AS59" s="167"/>
      <c r="AT59" s="167"/>
      <c r="AU59" s="167"/>
      <c r="AV59" s="167"/>
      <c r="AW59" s="167"/>
      <c r="AX59" s="168"/>
    </row>
    <row r="60" spans="2:50" ht="9.75" customHeight="1" thickBot="1">
      <c r="B60" s="166"/>
      <c r="C60" s="167"/>
      <c r="D60" s="167"/>
      <c r="E60" s="167"/>
      <c r="F60" s="167"/>
      <c r="G60" s="167"/>
      <c r="H60" s="377"/>
      <c r="I60" s="366"/>
      <c r="J60" s="366"/>
      <c r="K60" s="366"/>
      <c r="L60" s="366"/>
      <c r="M60" s="366"/>
      <c r="N60" s="366"/>
      <c r="O60" s="366"/>
      <c r="P60" s="366"/>
      <c r="Q60" s="366"/>
      <c r="R60" s="366"/>
      <c r="S60" s="367"/>
      <c r="T60" s="427"/>
      <c r="U60" s="428"/>
      <c r="V60" s="428"/>
      <c r="W60" s="428"/>
      <c r="X60" s="428"/>
      <c r="Y60" s="428"/>
      <c r="Z60" s="428"/>
      <c r="AA60" s="366"/>
      <c r="AB60" s="366"/>
      <c r="AC60" s="366"/>
      <c r="AD60" s="366"/>
      <c r="AE60" s="366"/>
      <c r="AF60" s="366"/>
      <c r="AG60" s="366"/>
      <c r="AH60" s="366"/>
      <c r="AI60" s="366"/>
      <c r="AJ60" s="366"/>
      <c r="AK60" s="366"/>
      <c r="AL60" s="366"/>
      <c r="AM60" s="366"/>
      <c r="AN60" s="366"/>
      <c r="AO60" s="366"/>
      <c r="AP60" s="366"/>
      <c r="AQ60" s="367"/>
      <c r="AR60" s="167"/>
      <c r="AS60" s="167"/>
      <c r="AT60" s="167"/>
      <c r="AU60" s="167"/>
      <c r="AV60" s="167"/>
      <c r="AW60" s="167"/>
      <c r="AX60" s="168"/>
    </row>
    <row r="61" spans="2:50" ht="9.75" customHeight="1" thickTop="1">
      <c r="B61" s="166"/>
      <c r="C61" s="167"/>
      <c r="D61" s="167"/>
      <c r="E61" s="167"/>
      <c r="F61" s="167"/>
      <c r="G61" s="167"/>
      <c r="H61" s="375" t="s">
        <v>108</v>
      </c>
      <c r="I61" s="364"/>
      <c r="J61" s="364"/>
      <c r="K61" s="364"/>
      <c r="L61" s="364"/>
      <c r="M61" s="364"/>
      <c r="N61" s="364"/>
      <c r="O61" s="364"/>
      <c r="P61" s="364"/>
      <c r="Q61" s="364"/>
      <c r="R61" s="364"/>
      <c r="S61" s="365"/>
      <c r="T61" s="425">
        <f>'秘書-input'!P33</f>
        <v>8</v>
      </c>
      <c r="U61" s="426"/>
      <c r="V61" s="426"/>
      <c r="W61" s="426"/>
      <c r="X61" s="426"/>
      <c r="Y61" s="426"/>
      <c r="Z61" s="426"/>
      <c r="AA61" s="364" t="s">
        <v>107</v>
      </c>
      <c r="AB61" s="364"/>
      <c r="AC61" s="364"/>
      <c r="AD61" s="364"/>
      <c r="AE61" s="364"/>
      <c r="AF61" s="364"/>
      <c r="AG61" s="364"/>
      <c r="AH61" s="364"/>
      <c r="AI61" s="364"/>
      <c r="AJ61" s="364"/>
      <c r="AK61" s="364"/>
      <c r="AL61" s="364"/>
      <c r="AM61" s="364"/>
      <c r="AN61" s="364"/>
      <c r="AO61" s="364"/>
      <c r="AP61" s="364"/>
      <c r="AQ61" s="365"/>
      <c r="AR61" s="167"/>
      <c r="AS61" s="167"/>
      <c r="AT61" s="167"/>
      <c r="AU61" s="167"/>
      <c r="AV61" s="167"/>
      <c r="AW61" s="167"/>
      <c r="AX61" s="168"/>
    </row>
    <row r="62" spans="2:50" ht="9.75" customHeight="1" thickBot="1">
      <c r="B62" s="166"/>
      <c r="C62" s="167"/>
      <c r="D62" s="167"/>
      <c r="E62" s="167"/>
      <c r="F62" s="167"/>
      <c r="G62" s="167"/>
      <c r="H62" s="377"/>
      <c r="I62" s="366"/>
      <c r="J62" s="366"/>
      <c r="K62" s="366"/>
      <c r="L62" s="366"/>
      <c r="M62" s="366"/>
      <c r="N62" s="366"/>
      <c r="O62" s="366"/>
      <c r="P62" s="366"/>
      <c r="Q62" s="366"/>
      <c r="R62" s="366"/>
      <c r="S62" s="367"/>
      <c r="T62" s="427"/>
      <c r="U62" s="428"/>
      <c r="V62" s="428"/>
      <c r="W62" s="428"/>
      <c r="X62" s="428"/>
      <c r="Y62" s="428"/>
      <c r="Z62" s="428"/>
      <c r="AA62" s="366"/>
      <c r="AB62" s="366"/>
      <c r="AC62" s="366"/>
      <c r="AD62" s="366"/>
      <c r="AE62" s="366"/>
      <c r="AF62" s="366"/>
      <c r="AG62" s="366"/>
      <c r="AH62" s="366"/>
      <c r="AI62" s="366"/>
      <c r="AJ62" s="366"/>
      <c r="AK62" s="366"/>
      <c r="AL62" s="366"/>
      <c r="AM62" s="366"/>
      <c r="AN62" s="366"/>
      <c r="AO62" s="366"/>
      <c r="AP62" s="366"/>
      <c r="AQ62" s="367"/>
      <c r="AR62" s="167"/>
      <c r="AS62" s="167"/>
      <c r="AT62" s="167"/>
      <c r="AU62" s="167"/>
      <c r="AV62" s="167"/>
      <c r="AW62" s="167"/>
      <c r="AX62" s="168"/>
    </row>
    <row r="63" spans="2:50" ht="9.75" customHeight="1" thickTop="1">
      <c r="B63" s="166"/>
      <c r="C63" s="167"/>
      <c r="D63" s="167"/>
      <c r="E63" s="167"/>
      <c r="F63" s="167"/>
      <c r="G63" s="167"/>
      <c r="H63" s="438" t="s">
        <v>100</v>
      </c>
      <c r="I63" s="439"/>
      <c r="J63" s="439"/>
      <c r="K63" s="439"/>
      <c r="L63" s="439"/>
      <c r="M63" s="439"/>
      <c r="N63" s="439"/>
      <c r="O63" s="439"/>
      <c r="P63" s="439"/>
      <c r="Q63" s="439"/>
      <c r="R63" s="439"/>
      <c r="S63" s="439"/>
      <c r="T63" s="439" t="str">
        <f>'秘書-input'!B3</f>
        <v>台北市萬華區</v>
      </c>
      <c r="U63" s="439"/>
      <c r="V63" s="439"/>
      <c r="W63" s="439"/>
      <c r="X63" s="439"/>
      <c r="Y63" s="439"/>
      <c r="Z63" s="439"/>
      <c r="AA63" s="439"/>
      <c r="AB63" s="439"/>
      <c r="AC63" s="439" t="str">
        <f>'秘書-input'!C34</f>
        <v>漢中段一小段780-0001地號</v>
      </c>
      <c r="AD63" s="439"/>
      <c r="AE63" s="439"/>
      <c r="AF63" s="439"/>
      <c r="AG63" s="439"/>
      <c r="AH63" s="439"/>
      <c r="AI63" s="439"/>
      <c r="AJ63" s="439"/>
      <c r="AK63" s="439"/>
      <c r="AL63" s="439"/>
      <c r="AM63" s="439"/>
      <c r="AN63" s="439"/>
      <c r="AO63" s="439"/>
      <c r="AP63" s="439"/>
      <c r="AQ63" s="442"/>
      <c r="AR63" s="167"/>
      <c r="AS63" s="167"/>
      <c r="AT63" s="167"/>
      <c r="AU63" s="167"/>
      <c r="AV63" s="167"/>
      <c r="AW63" s="167"/>
      <c r="AX63" s="168"/>
    </row>
    <row r="64" spans="2:50" ht="9.75" customHeight="1" thickBot="1">
      <c r="B64" s="166"/>
      <c r="C64" s="167"/>
      <c r="D64" s="167"/>
      <c r="E64" s="167"/>
      <c r="F64" s="167"/>
      <c r="G64" s="167"/>
      <c r="H64" s="440"/>
      <c r="I64" s="441"/>
      <c r="J64" s="441"/>
      <c r="K64" s="441"/>
      <c r="L64" s="441"/>
      <c r="M64" s="441"/>
      <c r="N64" s="441"/>
      <c r="O64" s="441"/>
      <c r="P64" s="441"/>
      <c r="Q64" s="441"/>
      <c r="R64" s="441"/>
      <c r="S64" s="441"/>
      <c r="T64" s="441"/>
      <c r="U64" s="441"/>
      <c r="V64" s="441"/>
      <c r="W64" s="441"/>
      <c r="X64" s="441"/>
      <c r="Y64" s="441"/>
      <c r="Z64" s="441"/>
      <c r="AA64" s="441"/>
      <c r="AB64" s="441"/>
      <c r="AC64" s="441"/>
      <c r="AD64" s="441"/>
      <c r="AE64" s="441"/>
      <c r="AF64" s="441"/>
      <c r="AG64" s="441"/>
      <c r="AH64" s="441"/>
      <c r="AI64" s="441"/>
      <c r="AJ64" s="441"/>
      <c r="AK64" s="441"/>
      <c r="AL64" s="441"/>
      <c r="AM64" s="441"/>
      <c r="AN64" s="441"/>
      <c r="AO64" s="441"/>
      <c r="AP64" s="441"/>
      <c r="AQ64" s="443"/>
      <c r="AR64" s="167"/>
      <c r="AS64" s="167"/>
      <c r="AT64" s="167"/>
      <c r="AU64" s="167"/>
      <c r="AV64" s="167"/>
      <c r="AW64" s="167"/>
      <c r="AX64" s="168"/>
    </row>
    <row r="65" spans="1:50" ht="9.75" customHeight="1" thickTop="1">
      <c r="B65" s="166"/>
      <c r="C65" s="167"/>
      <c r="D65" s="167"/>
      <c r="E65" s="167"/>
      <c r="F65" s="167"/>
      <c r="G65" s="167"/>
      <c r="H65" s="444" t="s">
        <v>101</v>
      </c>
      <c r="I65" s="433"/>
      <c r="J65" s="433"/>
      <c r="K65" s="433"/>
      <c r="L65" s="433"/>
      <c r="M65" s="433"/>
      <c r="N65" s="433"/>
      <c r="O65" s="433"/>
      <c r="P65" s="433"/>
      <c r="Q65" s="433"/>
      <c r="R65" s="433"/>
      <c r="S65" s="445"/>
      <c r="T65" s="434">
        <f>'秘書-input'!E34</f>
        <v>206</v>
      </c>
      <c r="U65" s="435"/>
      <c r="V65" s="435"/>
      <c r="W65" s="435"/>
      <c r="X65" s="435"/>
      <c r="Y65" s="435"/>
      <c r="Z65" s="435"/>
      <c r="AA65" s="433" t="s">
        <v>2</v>
      </c>
      <c r="AB65" s="433"/>
      <c r="AC65" s="433"/>
      <c r="AD65" s="433"/>
      <c r="AE65" s="433"/>
      <c r="AF65" s="433"/>
      <c r="AG65" s="364" t="s">
        <v>102</v>
      </c>
      <c r="AH65" s="364"/>
      <c r="AI65" s="364"/>
      <c r="AJ65" s="435">
        <f>'秘書-input'!R34</f>
        <v>62.314999999999998</v>
      </c>
      <c r="AK65" s="435"/>
      <c r="AL65" s="435"/>
      <c r="AM65" s="435"/>
      <c r="AN65" s="435"/>
      <c r="AO65" s="435"/>
      <c r="AP65" s="364" t="s">
        <v>347</v>
      </c>
      <c r="AQ65" s="365"/>
      <c r="AR65" s="167"/>
      <c r="AS65" s="167"/>
      <c r="AT65" s="167"/>
      <c r="AU65" s="167"/>
      <c r="AV65" s="167"/>
      <c r="AW65" s="167"/>
      <c r="AX65" s="168"/>
    </row>
    <row r="66" spans="1:50" ht="9.75" customHeight="1" thickBot="1">
      <c r="B66" s="166"/>
      <c r="C66" s="167"/>
      <c r="D66" s="167"/>
      <c r="E66" s="167"/>
      <c r="F66" s="167"/>
      <c r="G66" s="167"/>
      <c r="H66" s="309"/>
      <c r="I66" s="310"/>
      <c r="J66" s="310"/>
      <c r="K66" s="310"/>
      <c r="L66" s="310"/>
      <c r="M66" s="310"/>
      <c r="N66" s="310"/>
      <c r="O66" s="310"/>
      <c r="P66" s="310"/>
      <c r="Q66" s="310"/>
      <c r="R66" s="310"/>
      <c r="S66" s="446"/>
      <c r="T66" s="436"/>
      <c r="U66" s="437"/>
      <c r="V66" s="437"/>
      <c r="W66" s="437"/>
      <c r="X66" s="437"/>
      <c r="Y66" s="437"/>
      <c r="Z66" s="437"/>
      <c r="AA66" s="310"/>
      <c r="AB66" s="310"/>
      <c r="AC66" s="310"/>
      <c r="AD66" s="310"/>
      <c r="AE66" s="310"/>
      <c r="AF66" s="310"/>
      <c r="AG66" s="366"/>
      <c r="AH66" s="366"/>
      <c r="AI66" s="366"/>
      <c r="AJ66" s="437"/>
      <c r="AK66" s="437"/>
      <c r="AL66" s="437"/>
      <c r="AM66" s="437"/>
      <c r="AN66" s="437"/>
      <c r="AO66" s="437"/>
      <c r="AP66" s="366"/>
      <c r="AQ66" s="367"/>
      <c r="AR66" s="167"/>
      <c r="AS66" s="167"/>
      <c r="AT66" s="167"/>
      <c r="AU66" s="167"/>
      <c r="AV66" s="167"/>
      <c r="AW66" s="167"/>
      <c r="AX66" s="168"/>
    </row>
    <row r="67" spans="1:50" ht="9.75" customHeight="1" thickTop="1">
      <c r="B67" s="166"/>
      <c r="C67" s="167"/>
      <c r="D67" s="167"/>
      <c r="E67" s="167"/>
      <c r="F67" s="167"/>
      <c r="G67" s="167"/>
      <c r="H67" s="375" t="s">
        <v>348</v>
      </c>
      <c r="I67" s="364"/>
      <c r="J67" s="364"/>
      <c r="K67" s="364"/>
      <c r="L67" s="364"/>
      <c r="M67" s="364"/>
      <c r="N67" s="364"/>
      <c r="O67" s="364"/>
      <c r="P67" s="364"/>
      <c r="Q67" s="364"/>
      <c r="R67" s="364"/>
      <c r="S67" s="365"/>
      <c r="T67" s="429">
        <f>'秘書-input'!H34</f>
        <v>10000</v>
      </c>
      <c r="U67" s="430"/>
      <c r="V67" s="430"/>
      <c r="W67" s="430"/>
      <c r="X67" s="430"/>
      <c r="Y67" s="430"/>
      <c r="Z67" s="430"/>
      <c r="AA67" s="433" t="s">
        <v>103</v>
      </c>
      <c r="AB67" s="433"/>
      <c r="AC67" s="433"/>
      <c r="AD67" s="433"/>
      <c r="AE67" s="433"/>
      <c r="AF67" s="433"/>
      <c r="AG67" s="364">
        <f>'秘書-input'!J34</f>
        <v>580</v>
      </c>
      <c r="AH67" s="364"/>
      <c r="AI67" s="364"/>
      <c r="AJ67" s="364"/>
      <c r="AK67" s="364"/>
      <c r="AL67" s="364"/>
      <c r="AM67" s="364"/>
      <c r="AN67" s="364"/>
      <c r="AO67" s="364"/>
      <c r="AP67" s="364"/>
      <c r="AQ67" s="365"/>
      <c r="AR67" s="167"/>
      <c r="AS67" s="167"/>
      <c r="AT67" s="167"/>
      <c r="AU67" s="167"/>
      <c r="AV67" s="167"/>
      <c r="AW67" s="167"/>
      <c r="AX67" s="168"/>
    </row>
    <row r="68" spans="1:50" ht="9.75" customHeight="1" thickBot="1">
      <c r="B68" s="166"/>
      <c r="C68" s="167"/>
      <c r="D68" s="167"/>
      <c r="E68" s="167"/>
      <c r="F68" s="167"/>
      <c r="G68" s="167"/>
      <c r="H68" s="377"/>
      <c r="I68" s="366"/>
      <c r="J68" s="366"/>
      <c r="K68" s="366"/>
      <c r="L68" s="366"/>
      <c r="M68" s="366"/>
      <c r="N68" s="366"/>
      <c r="O68" s="366"/>
      <c r="P68" s="366"/>
      <c r="Q68" s="366"/>
      <c r="R68" s="366"/>
      <c r="S68" s="367"/>
      <c r="T68" s="431"/>
      <c r="U68" s="432"/>
      <c r="V68" s="432"/>
      <c r="W68" s="432"/>
      <c r="X68" s="432"/>
      <c r="Y68" s="432"/>
      <c r="Z68" s="432"/>
      <c r="AA68" s="310"/>
      <c r="AB68" s="310"/>
      <c r="AC68" s="310"/>
      <c r="AD68" s="310"/>
      <c r="AE68" s="310"/>
      <c r="AF68" s="310"/>
      <c r="AG68" s="366"/>
      <c r="AH68" s="366"/>
      <c r="AI68" s="366"/>
      <c r="AJ68" s="366"/>
      <c r="AK68" s="366"/>
      <c r="AL68" s="366"/>
      <c r="AM68" s="366"/>
      <c r="AN68" s="366"/>
      <c r="AO68" s="366"/>
      <c r="AP68" s="366"/>
      <c r="AQ68" s="367"/>
      <c r="AR68" s="167"/>
      <c r="AS68" s="167"/>
      <c r="AT68" s="167"/>
      <c r="AU68" s="167"/>
      <c r="AV68" s="167"/>
      <c r="AW68" s="167"/>
      <c r="AX68" s="168"/>
    </row>
    <row r="69" spans="1:50" ht="9.75" customHeight="1" thickTop="1">
      <c r="B69" s="166"/>
      <c r="C69" s="167"/>
      <c r="D69" s="167"/>
      <c r="E69" s="167"/>
      <c r="F69" s="167"/>
      <c r="G69" s="167"/>
      <c r="H69" s="375" t="s">
        <v>104</v>
      </c>
      <c r="I69" s="364"/>
      <c r="J69" s="364"/>
      <c r="K69" s="364"/>
      <c r="L69" s="364"/>
      <c r="M69" s="364"/>
      <c r="N69" s="364"/>
      <c r="O69" s="364"/>
      <c r="P69" s="364"/>
      <c r="Q69" s="364"/>
      <c r="R69" s="364"/>
      <c r="S69" s="365"/>
      <c r="T69" s="434">
        <f>'秘書-input'!U34</f>
        <v>11.948</v>
      </c>
      <c r="U69" s="435"/>
      <c r="V69" s="435"/>
      <c r="W69" s="435"/>
      <c r="X69" s="435"/>
      <c r="Y69" s="435"/>
      <c r="Z69" s="435"/>
      <c r="AA69" s="433" t="s">
        <v>2</v>
      </c>
      <c r="AB69" s="433"/>
      <c r="AC69" s="433"/>
      <c r="AD69" s="433"/>
      <c r="AE69" s="433"/>
      <c r="AF69" s="433"/>
      <c r="AG69" s="364" t="s">
        <v>102</v>
      </c>
      <c r="AH69" s="364"/>
      <c r="AI69" s="364"/>
      <c r="AJ69" s="435">
        <f>'秘書-input'!X34</f>
        <v>3.6142699999999999</v>
      </c>
      <c r="AK69" s="435"/>
      <c r="AL69" s="435"/>
      <c r="AM69" s="435"/>
      <c r="AN69" s="435"/>
      <c r="AO69" s="435"/>
      <c r="AP69" s="364" t="s">
        <v>3</v>
      </c>
      <c r="AQ69" s="365"/>
      <c r="AR69" s="167"/>
      <c r="AS69" s="167"/>
      <c r="AT69" s="167"/>
      <c r="AU69" s="167"/>
      <c r="AV69" s="167"/>
      <c r="AW69" s="167"/>
      <c r="AX69" s="168"/>
    </row>
    <row r="70" spans="1:50" ht="9.75" customHeight="1" thickBot="1">
      <c r="B70" s="166"/>
      <c r="C70" s="167"/>
      <c r="D70" s="167"/>
      <c r="E70" s="167"/>
      <c r="F70" s="167"/>
      <c r="G70" s="168"/>
      <c r="H70" s="377"/>
      <c r="I70" s="366"/>
      <c r="J70" s="366"/>
      <c r="K70" s="366"/>
      <c r="L70" s="366"/>
      <c r="M70" s="366"/>
      <c r="N70" s="366"/>
      <c r="O70" s="366"/>
      <c r="P70" s="366"/>
      <c r="Q70" s="366"/>
      <c r="R70" s="366"/>
      <c r="S70" s="367"/>
      <c r="T70" s="436"/>
      <c r="U70" s="437"/>
      <c r="V70" s="437"/>
      <c r="W70" s="437"/>
      <c r="X70" s="437"/>
      <c r="Y70" s="437"/>
      <c r="Z70" s="437"/>
      <c r="AA70" s="310"/>
      <c r="AB70" s="310"/>
      <c r="AC70" s="310"/>
      <c r="AD70" s="310"/>
      <c r="AE70" s="310"/>
      <c r="AF70" s="310"/>
      <c r="AG70" s="366"/>
      <c r="AH70" s="366"/>
      <c r="AI70" s="366"/>
      <c r="AJ70" s="437"/>
      <c r="AK70" s="437"/>
      <c r="AL70" s="437"/>
      <c r="AM70" s="437"/>
      <c r="AN70" s="437"/>
      <c r="AO70" s="437"/>
      <c r="AP70" s="366"/>
      <c r="AQ70" s="367"/>
      <c r="AR70" s="166"/>
      <c r="AS70" s="167"/>
      <c r="AT70" s="167"/>
      <c r="AU70" s="167"/>
      <c r="AV70" s="167"/>
      <c r="AW70" s="167"/>
      <c r="AX70" s="168"/>
    </row>
    <row r="71" spans="1:50" ht="9.75" customHeight="1" thickTop="1">
      <c r="A71" s="69"/>
      <c r="B71" s="167"/>
      <c r="C71" s="167"/>
      <c r="D71" s="167"/>
      <c r="E71" s="167"/>
      <c r="F71" s="167"/>
      <c r="G71" s="167"/>
      <c r="H71" s="375" t="s">
        <v>105</v>
      </c>
      <c r="I71" s="364"/>
      <c r="J71" s="364"/>
      <c r="K71" s="364"/>
      <c r="L71" s="364"/>
      <c r="M71" s="364"/>
      <c r="N71" s="364"/>
      <c r="O71" s="364"/>
      <c r="P71" s="364"/>
      <c r="Q71" s="364"/>
      <c r="R71" s="364"/>
      <c r="S71" s="365"/>
      <c r="T71" s="375" t="str">
        <f>'秘書-input'!L34</f>
        <v>商四</v>
      </c>
      <c r="U71" s="364"/>
      <c r="V71" s="364"/>
      <c r="W71" s="364"/>
      <c r="X71" s="364"/>
      <c r="Y71" s="364"/>
      <c r="Z71" s="364"/>
      <c r="AA71" s="364"/>
      <c r="AB71" s="364"/>
      <c r="AC71" s="364"/>
      <c r="AD71" s="364"/>
      <c r="AE71" s="364"/>
      <c r="AF71" s="364"/>
      <c r="AG71" s="364"/>
      <c r="AH71" s="364"/>
      <c r="AI71" s="364"/>
      <c r="AJ71" s="364"/>
      <c r="AK71" s="364"/>
      <c r="AL71" s="364"/>
      <c r="AM71" s="364"/>
      <c r="AN71" s="364"/>
      <c r="AO71" s="364"/>
      <c r="AP71" s="364"/>
      <c r="AQ71" s="365"/>
      <c r="AR71" s="167"/>
      <c r="AS71" s="167"/>
      <c r="AT71" s="167"/>
      <c r="AU71" s="167"/>
      <c r="AV71" s="167"/>
      <c r="AW71" s="167"/>
      <c r="AX71" s="168"/>
    </row>
    <row r="72" spans="1:50" ht="9.75" customHeight="1" thickBot="1">
      <c r="A72" s="69"/>
      <c r="B72" s="167"/>
      <c r="C72" s="167"/>
      <c r="D72" s="167"/>
      <c r="E72" s="167"/>
      <c r="F72" s="167"/>
      <c r="G72" s="167"/>
      <c r="H72" s="377"/>
      <c r="I72" s="366"/>
      <c r="J72" s="366"/>
      <c r="K72" s="366"/>
      <c r="L72" s="366"/>
      <c r="M72" s="366"/>
      <c r="N72" s="366"/>
      <c r="O72" s="366"/>
      <c r="P72" s="366"/>
      <c r="Q72" s="366"/>
      <c r="R72" s="366"/>
      <c r="S72" s="367"/>
      <c r="T72" s="377"/>
      <c r="U72" s="366"/>
      <c r="V72" s="366"/>
      <c r="W72" s="366"/>
      <c r="X72" s="366"/>
      <c r="Y72" s="366"/>
      <c r="Z72" s="366"/>
      <c r="AA72" s="366"/>
      <c r="AB72" s="366"/>
      <c r="AC72" s="366"/>
      <c r="AD72" s="366"/>
      <c r="AE72" s="366"/>
      <c r="AF72" s="366"/>
      <c r="AG72" s="366"/>
      <c r="AH72" s="366"/>
      <c r="AI72" s="366"/>
      <c r="AJ72" s="366"/>
      <c r="AK72" s="366"/>
      <c r="AL72" s="366"/>
      <c r="AM72" s="366"/>
      <c r="AN72" s="366"/>
      <c r="AO72" s="366"/>
      <c r="AP72" s="366"/>
      <c r="AQ72" s="367"/>
      <c r="AR72" s="167"/>
      <c r="AS72" s="167"/>
      <c r="AT72" s="167"/>
      <c r="AU72" s="167"/>
      <c r="AV72" s="167"/>
      <c r="AW72" s="167"/>
      <c r="AX72" s="168"/>
    </row>
    <row r="73" spans="1:50" ht="9.75" customHeight="1" thickTop="1">
      <c r="A73" s="69"/>
      <c r="B73" s="167"/>
      <c r="C73" s="167"/>
      <c r="D73" s="167"/>
      <c r="E73" s="167"/>
      <c r="F73" s="167"/>
      <c r="G73" s="167"/>
      <c r="H73" s="375" t="s">
        <v>106</v>
      </c>
      <c r="I73" s="364"/>
      <c r="J73" s="364"/>
      <c r="K73" s="364"/>
      <c r="L73" s="364"/>
      <c r="M73" s="364"/>
      <c r="N73" s="364"/>
      <c r="O73" s="364"/>
      <c r="P73" s="364"/>
      <c r="Q73" s="364"/>
      <c r="R73" s="364"/>
      <c r="S73" s="365"/>
      <c r="T73" s="425">
        <f>'秘書-input'!N34</f>
        <v>0.75</v>
      </c>
      <c r="U73" s="426"/>
      <c r="V73" s="426"/>
      <c r="W73" s="426"/>
      <c r="X73" s="426"/>
      <c r="Y73" s="426"/>
      <c r="Z73" s="426"/>
      <c r="AA73" s="364" t="s">
        <v>332</v>
      </c>
      <c r="AB73" s="364"/>
      <c r="AC73" s="364"/>
      <c r="AD73" s="364"/>
      <c r="AE73" s="364"/>
      <c r="AF73" s="364"/>
      <c r="AG73" s="364"/>
      <c r="AH73" s="364"/>
      <c r="AI73" s="364"/>
      <c r="AJ73" s="364"/>
      <c r="AK73" s="364"/>
      <c r="AL73" s="364"/>
      <c r="AM73" s="364"/>
      <c r="AN73" s="364"/>
      <c r="AO73" s="364"/>
      <c r="AP73" s="364"/>
      <c r="AQ73" s="365"/>
      <c r="AR73" s="167"/>
      <c r="AS73" s="167"/>
      <c r="AT73" s="167"/>
      <c r="AU73" s="167"/>
      <c r="AV73" s="167"/>
      <c r="AW73" s="167"/>
      <c r="AX73" s="168"/>
    </row>
    <row r="74" spans="1:50" ht="9.75" customHeight="1" thickBot="1">
      <c r="A74" s="69"/>
      <c r="B74" s="167"/>
      <c r="C74" s="167"/>
      <c r="D74" s="167"/>
      <c r="E74" s="167"/>
      <c r="F74" s="167"/>
      <c r="G74" s="167"/>
      <c r="H74" s="377"/>
      <c r="I74" s="366"/>
      <c r="J74" s="366"/>
      <c r="K74" s="366"/>
      <c r="L74" s="366"/>
      <c r="M74" s="366"/>
      <c r="N74" s="366"/>
      <c r="O74" s="366"/>
      <c r="P74" s="366"/>
      <c r="Q74" s="366"/>
      <c r="R74" s="366"/>
      <c r="S74" s="367"/>
      <c r="T74" s="427"/>
      <c r="U74" s="428"/>
      <c r="V74" s="428"/>
      <c r="W74" s="428"/>
      <c r="X74" s="428"/>
      <c r="Y74" s="428"/>
      <c r="Z74" s="428"/>
      <c r="AA74" s="366"/>
      <c r="AB74" s="366"/>
      <c r="AC74" s="366"/>
      <c r="AD74" s="366"/>
      <c r="AE74" s="366"/>
      <c r="AF74" s="366"/>
      <c r="AG74" s="366"/>
      <c r="AH74" s="366"/>
      <c r="AI74" s="366"/>
      <c r="AJ74" s="366"/>
      <c r="AK74" s="366"/>
      <c r="AL74" s="366"/>
      <c r="AM74" s="366"/>
      <c r="AN74" s="366"/>
      <c r="AO74" s="366"/>
      <c r="AP74" s="366"/>
      <c r="AQ74" s="367"/>
      <c r="AR74" s="167"/>
      <c r="AS74" s="167"/>
      <c r="AT74" s="167"/>
      <c r="AU74" s="167"/>
      <c r="AV74" s="167"/>
      <c r="AW74" s="167"/>
      <c r="AX74" s="168"/>
    </row>
    <row r="75" spans="1:50" ht="9.75" customHeight="1" thickTop="1">
      <c r="A75" s="69"/>
      <c r="B75" s="167"/>
      <c r="C75" s="167"/>
      <c r="D75" s="167"/>
      <c r="E75" s="167"/>
      <c r="F75" s="167"/>
      <c r="G75" s="167"/>
      <c r="H75" s="375" t="s">
        <v>333</v>
      </c>
      <c r="I75" s="364"/>
      <c r="J75" s="364"/>
      <c r="K75" s="364"/>
      <c r="L75" s="364"/>
      <c r="M75" s="364"/>
      <c r="N75" s="364"/>
      <c r="O75" s="364"/>
      <c r="P75" s="364"/>
      <c r="Q75" s="364"/>
      <c r="R75" s="364"/>
      <c r="S75" s="365"/>
      <c r="T75" s="425">
        <f>'秘書-input'!P34</f>
        <v>8</v>
      </c>
      <c r="U75" s="426"/>
      <c r="V75" s="426"/>
      <c r="W75" s="426"/>
      <c r="X75" s="426"/>
      <c r="Y75" s="426"/>
      <c r="Z75" s="426"/>
      <c r="AA75" s="364" t="s">
        <v>332</v>
      </c>
      <c r="AB75" s="364"/>
      <c r="AC75" s="364"/>
      <c r="AD75" s="364"/>
      <c r="AE75" s="364"/>
      <c r="AF75" s="364"/>
      <c r="AG75" s="364"/>
      <c r="AH75" s="364"/>
      <c r="AI75" s="364"/>
      <c r="AJ75" s="364"/>
      <c r="AK75" s="364"/>
      <c r="AL75" s="364"/>
      <c r="AM75" s="364"/>
      <c r="AN75" s="364"/>
      <c r="AO75" s="364"/>
      <c r="AP75" s="364"/>
      <c r="AQ75" s="365"/>
      <c r="AR75" s="167"/>
      <c r="AS75" s="167"/>
      <c r="AT75" s="167"/>
      <c r="AU75" s="167"/>
      <c r="AV75" s="167"/>
      <c r="AW75" s="167"/>
      <c r="AX75" s="168"/>
    </row>
    <row r="76" spans="1:50" ht="9.75" customHeight="1" thickBot="1">
      <c r="A76" s="69"/>
      <c r="B76" s="167"/>
      <c r="C76" s="167"/>
      <c r="D76" s="167"/>
      <c r="E76" s="167"/>
      <c r="F76" s="167"/>
      <c r="G76" s="167"/>
      <c r="H76" s="377"/>
      <c r="I76" s="366"/>
      <c r="J76" s="366"/>
      <c r="K76" s="366"/>
      <c r="L76" s="366"/>
      <c r="M76" s="366"/>
      <c r="N76" s="366"/>
      <c r="O76" s="366"/>
      <c r="P76" s="366"/>
      <c r="Q76" s="366"/>
      <c r="R76" s="366"/>
      <c r="S76" s="367"/>
      <c r="T76" s="427"/>
      <c r="U76" s="428"/>
      <c r="V76" s="428"/>
      <c r="W76" s="428"/>
      <c r="X76" s="428"/>
      <c r="Y76" s="428"/>
      <c r="Z76" s="428"/>
      <c r="AA76" s="366"/>
      <c r="AB76" s="366"/>
      <c r="AC76" s="366"/>
      <c r="AD76" s="366"/>
      <c r="AE76" s="366"/>
      <c r="AF76" s="366"/>
      <c r="AG76" s="366"/>
      <c r="AH76" s="366"/>
      <c r="AI76" s="366"/>
      <c r="AJ76" s="366"/>
      <c r="AK76" s="366"/>
      <c r="AL76" s="366"/>
      <c r="AM76" s="366"/>
      <c r="AN76" s="366"/>
      <c r="AO76" s="366"/>
      <c r="AP76" s="366"/>
      <c r="AQ76" s="367"/>
      <c r="AR76" s="167"/>
      <c r="AS76" s="167"/>
      <c r="AT76" s="167"/>
      <c r="AU76" s="167"/>
      <c r="AV76" s="167"/>
      <c r="AW76" s="167"/>
      <c r="AX76" s="168"/>
    </row>
    <row r="77" spans="1:50" ht="9.75" customHeight="1" thickTop="1">
      <c r="A77" s="69"/>
      <c r="B77" s="167"/>
      <c r="C77" s="167"/>
      <c r="D77" s="167"/>
      <c r="E77" s="167"/>
      <c r="F77" s="167"/>
      <c r="G77" s="167"/>
      <c r="H77" s="412" t="s">
        <v>349</v>
      </c>
      <c r="I77" s="412"/>
      <c r="J77" s="412"/>
      <c r="K77" s="412"/>
      <c r="L77" s="412"/>
      <c r="M77" s="412"/>
      <c r="N77" s="412"/>
      <c r="O77" s="412"/>
      <c r="P77" s="412"/>
      <c r="Q77" s="412"/>
      <c r="R77" s="412"/>
      <c r="S77" s="412"/>
      <c r="T77" s="414">
        <f>'秘書-input'!X35</f>
        <v>22.001430000000003</v>
      </c>
      <c r="U77" s="414"/>
      <c r="V77" s="414"/>
      <c r="W77" s="414"/>
      <c r="X77" s="414"/>
      <c r="Y77" s="414"/>
      <c r="Z77" s="414"/>
      <c r="AA77" s="414"/>
      <c r="AB77" s="414"/>
      <c r="AC77" s="414"/>
      <c r="AD77" s="414"/>
      <c r="AE77" s="414"/>
      <c r="AF77" s="414"/>
      <c r="AG77" s="414"/>
      <c r="AH77" s="414"/>
      <c r="AI77" s="414"/>
      <c r="AJ77" s="414"/>
      <c r="AK77" s="414"/>
      <c r="AL77" s="412" t="s">
        <v>318</v>
      </c>
      <c r="AM77" s="412"/>
      <c r="AN77" s="412"/>
      <c r="AO77" s="412"/>
      <c r="AP77" s="412"/>
      <c r="AQ77" s="412"/>
      <c r="AR77" s="167"/>
      <c r="AS77" s="167"/>
      <c r="AT77" s="167"/>
      <c r="AU77" s="167"/>
      <c r="AV77" s="167"/>
      <c r="AW77" s="167"/>
      <c r="AX77" s="168"/>
    </row>
    <row r="78" spans="1:50" ht="9.75" customHeight="1" thickBot="1">
      <c r="A78" s="69"/>
      <c r="B78" s="167"/>
      <c r="C78" s="167"/>
      <c r="D78" s="167"/>
      <c r="E78" s="167"/>
      <c r="F78" s="167"/>
      <c r="G78" s="167"/>
      <c r="H78" s="413"/>
      <c r="I78" s="413"/>
      <c r="J78" s="413"/>
      <c r="K78" s="413"/>
      <c r="L78" s="413"/>
      <c r="M78" s="413"/>
      <c r="N78" s="413"/>
      <c r="O78" s="413"/>
      <c r="P78" s="413"/>
      <c r="Q78" s="413"/>
      <c r="R78" s="413"/>
      <c r="S78" s="413"/>
      <c r="T78" s="415"/>
      <c r="U78" s="415"/>
      <c r="V78" s="415"/>
      <c r="W78" s="415"/>
      <c r="X78" s="415"/>
      <c r="Y78" s="415"/>
      <c r="Z78" s="415"/>
      <c r="AA78" s="415"/>
      <c r="AB78" s="415"/>
      <c r="AC78" s="415"/>
      <c r="AD78" s="415"/>
      <c r="AE78" s="415"/>
      <c r="AF78" s="415"/>
      <c r="AG78" s="415"/>
      <c r="AH78" s="415"/>
      <c r="AI78" s="415"/>
      <c r="AJ78" s="415"/>
      <c r="AK78" s="415"/>
      <c r="AL78" s="413"/>
      <c r="AM78" s="413"/>
      <c r="AN78" s="413"/>
      <c r="AO78" s="413"/>
      <c r="AP78" s="413"/>
      <c r="AQ78" s="413"/>
      <c r="AR78" s="167"/>
      <c r="AS78" s="167"/>
      <c r="AT78" s="167"/>
      <c r="AU78" s="167"/>
      <c r="AV78" s="167"/>
      <c r="AW78" s="167"/>
      <c r="AX78" s="168"/>
    </row>
    <row r="79" spans="1:50" ht="9.75" customHeight="1" thickTop="1" thickBot="1">
      <c r="A79" s="69"/>
      <c r="B79" s="167"/>
      <c r="C79" s="167"/>
      <c r="D79" s="167"/>
      <c r="E79" s="167"/>
      <c r="F79" s="167"/>
      <c r="G79" s="167"/>
      <c r="H79" s="416" t="s">
        <v>350</v>
      </c>
      <c r="I79" s="417"/>
      <c r="J79" s="417"/>
      <c r="K79" s="417"/>
      <c r="L79" s="417"/>
      <c r="M79" s="417"/>
      <c r="N79" s="417"/>
      <c r="O79" s="418"/>
      <c r="P79" s="379" t="s">
        <v>351</v>
      </c>
      <c r="Q79" s="379"/>
      <c r="R79" s="379"/>
      <c r="S79" s="379"/>
      <c r="T79" s="379"/>
      <c r="U79" s="379"/>
      <c r="V79" s="379"/>
      <c r="W79" s="379" t="s">
        <v>352</v>
      </c>
      <c r="X79" s="379"/>
      <c r="Y79" s="379"/>
      <c r="Z79" s="379"/>
      <c r="AA79" s="379"/>
      <c r="AB79" s="379"/>
      <c r="AC79" s="379"/>
      <c r="AD79" s="379" t="s">
        <v>353</v>
      </c>
      <c r="AE79" s="379"/>
      <c r="AF79" s="379"/>
      <c r="AG79" s="379"/>
      <c r="AH79" s="379"/>
      <c r="AI79" s="379"/>
      <c r="AJ79" s="379"/>
      <c r="AK79" s="379" t="s">
        <v>354</v>
      </c>
      <c r="AL79" s="379"/>
      <c r="AM79" s="379"/>
      <c r="AN79" s="379"/>
      <c r="AO79" s="379"/>
      <c r="AP79" s="379"/>
      <c r="AQ79" s="379"/>
      <c r="AR79" s="167"/>
      <c r="AS79" s="167"/>
      <c r="AT79" s="167"/>
      <c r="AU79" s="167"/>
      <c r="AV79" s="167"/>
      <c r="AW79" s="167"/>
      <c r="AX79" s="168"/>
    </row>
    <row r="80" spans="1:50" ht="9.75" customHeight="1" thickTop="1" thickBot="1">
      <c r="A80" s="69"/>
      <c r="B80" s="167"/>
      <c r="C80" s="167"/>
      <c r="D80" s="167"/>
      <c r="E80" s="167"/>
      <c r="F80" s="167"/>
      <c r="G80" s="167"/>
      <c r="H80" s="419"/>
      <c r="I80" s="420"/>
      <c r="J80" s="420"/>
      <c r="K80" s="420"/>
      <c r="L80" s="420"/>
      <c r="M80" s="420"/>
      <c r="N80" s="420"/>
      <c r="O80" s="421"/>
      <c r="P80" s="402"/>
      <c r="Q80" s="402"/>
      <c r="R80" s="402"/>
      <c r="S80" s="402"/>
      <c r="T80" s="402"/>
      <c r="U80" s="402"/>
      <c r="V80" s="402"/>
      <c r="W80" s="402"/>
      <c r="X80" s="402"/>
      <c r="Y80" s="402"/>
      <c r="Z80" s="402"/>
      <c r="AA80" s="402"/>
      <c r="AB80" s="402"/>
      <c r="AC80" s="402"/>
      <c r="AD80" s="402"/>
      <c r="AE80" s="402"/>
      <c r="AF80" s="402"/>
      <c r="AG80" s="402"/>
      <c r="AH80" s="402"/>
      <c r="AI80" s="402"/>
      <c r="AJ80" s="402"/>
      <c r="AK80" s="402"/>
      <c r="AL80" s="402"/>
      <c r="AM80" s="402"/>
      <c r="AN80" s="402"/>
      <c r="AO80" s="402"/>
      <c r="AP80" s="402"/>
      <c r="AQ80" s="402"/>
      <c r="AR80" s="167"/>
      <c r="AS80" s="167"/>
      <c r="AT80" s="167"/>
      <c r="AU80" s="167"/>
      <c r="AV80" s="167"/>
      <c r="AW80" s="167"/>
      <c r="AX80" s="168"/>
    </row>
    <row r="81" spans="1:50" ht="9.75" customHeight="1" thickTop="1" thickBot="1">
      <c r="A81" s="69"/>
      <c r="B81" s="167"/>
      <c r="C81" s="167"/>
      <c r="D81" s="167"/>
      <c r="E81" s="167"/>
      <c r="F81" s="167"/>
      <c r="G81" s="167"/>
      <c r="H81" s="419"/>
      <c r="I81" s="420"/>
      <c r="J81" s="420"/>
      <c r="K81" s="420"/>
      <c r="L81" s="420"/>
      <c r="M81" s="420"/>
      <c r="N81" s="420"/>
      <c r="O81" s="421"/>
      <c r="P81" s="402" t="s">
        <v>355</v>
      </c>
      <c r="Q81" s="402"/>
      <c r="R81" s="402"/>
      <c r="S81" s="402"/>
      <c r="T81" s="402"/>
      <c r="U81" s="402"/>
      <c r="V81" s="402"/>
      <c r="W81" s="402"/>
      <c r="X81" s="402"/>
      <c r="Y81" s="402"/>
      <c r="Z81" s="402"/>
      <c r="AA81" s="402"/>
      <c r="AB81" s="402"/>
      <c r="AC81" s="402"/>
      <c r="AD81" s="402"/>
      <c r="AE81" s="402"/>
      <c r="AF81" s="402"/>
      <c r="AG81" s="402"/>
      <c r="AH81" s="402"/>
      <c r="AI81" s="402"/>
      <c r="AJ81" s="402"/>
      <c r="AK81" s="402"/>
      <c r="AL81" s="402"/>
      <c r="AM81" s="402"/>
      <c r="AN81" s="402"/>
      <c r="AO81" s="402"/>
      <c r="AP81" s="402"/>
      <c r="AQ81" s="402"/>
      <c r="AR81" s="167"/>
      <c r="AS81" s="167"/>
      <c r="AT81" s="167"/>
      <c r="AU81" s="167"/>
      <c r="AV81" s="167"/>
      <c r="AW81" s="167"/>
      <c r="AX81" s="168"/>
    </row>
    <row r="82" spans="1:50" ht="9.75" customHeight="1" thickTop="1" thickBot="1">
      <c r="A82" s="69"/>
      <c r="B82" s="167"/>
      <c r="C82" s="167"/>
      <c r="D82" s="167"/>
      <c r="E82" s="167"/>
      <c r="F82" s="167"/>
      <c r="G82" s="167"/>
      <c r="H82" s="419"/>
      <c r="I82" s="420"/>
      <c r="J82" s="420"/>
      <c r="K82" s="420"/>
      <c r="L82" s="420"/>
      <c r="M82" s="420"/>
      <c r="N82" s="420"/>
      <c r="O82" s="421"/>
      <c r="P82" s="402"/>
      <c r="Q82" s="402"/>
      <c r="R82" s="402"/>
      <c r="S82" s="402"/>
      <c r="T82" s="402"/>
      <c r="U82" s="402"/>
      <c r="V82" s="402"/>
      <c r="W82" s="402"/>
      <c r="X82" s="402"/>
      <c r="Y82" s="402"/>
      <c r="Z82" s="402"/>
      <c r="AA82" s="402"/>
      <c r="AB82" s="402"/>
      <c r="AC82" s="402"/>
      <c r="AD82" s="402"/>
      <c r="AE82" s="402"/>
      <c r="AF82" s="402"/>
      <c r="AG82" s="402"/>
      <c r="AH82" s="402"/>
      <c r="AI82" s="402"/>
      <c r="AJ82" s="402"/>
      <c r="AK82" s="402"/>
      <c r="AL82" s="402"/>
      <c r="AM82" s="402"/>
      <c r="AN82" s="402"/>
      <c r="AO82" s="402"/>
      <c r="AP82" s="402"/>
      <c r="AQ82" s="402"/>
      <c r="AR82" s="167"/>
      <c r="AS82" s="167"/>
      <c r="AT82" s="167"/>
      <c r="AU82" s="167"/>
      <c r="AV82" s="167"/>
      <c r="AW82" s="167"/>
      <c r="AX82" s="168"/>
    </row>
    <row r="83" spans="1:50" ht="9.75" customHeight="1" thickTop="1" thickBot="1">
      <c r="A83" s="69"/>
      <c r="B83" s="167"/>
      <c r="C83" s="167"/>
      <c r="D83" s="167"/>
      <c r="E83" s="167"/>
      <c r="F83" s="167"/>
      <c r="G83" s="167"/>
      <c r="H83" s="419"/>
      <c r="I83" s="420"/>
      <c r="J83" s="420"/>
      <c r="K83" s="420"/>
      <c r="L83" s="420"/>
      <c r="M83" s="420"/>
      <c r="N83" s="420"/>
      <c r="O83" s="421"/>
      <c r="P83" s="402" t="s">
        <v>355</v>
      </c>
      <c r="Q83" s="402"/>
      <c r="R83" s="402"/>
      <c r="S83" s="402"/>
      <c r="T83" s="402"/>
      <c r="U83" s="402"/>
      <c r="V83" s="402"/>
      <c r="W83" s="402"/>
      <c r="X83" s="402"/>
      <c r="Y83" s="402"/>
      <c r="Z83" s="402"/>
      <c r="AA83" s="402"/>
      <c r="AB83" s="402"/>
      <c r="AC83" s="402"/>
      <c r="AD83" s="402"/>
      <c r="AE83" s="402"/>
      <c r="AF83" s="402"/>
      <c r="AG83" s="402"/>
      <c r="AH83" s="402"/>
      <c r="AI83" s="402"/>
      <c r="AJ83" s="402"/>
      <c r="AK83" s="402"/>
      <c r="AL83" s="402"/>
      <c r="AM83" s="402"/>
      <c r="AN83" s="402"/>
      <c r="AO83" s="402"/>
      <c r="AP83" s="402"/>
      <c r="AQ83" s="402"/>
      <c r="AR83" s="167"/>
      <c r="AS83" s="167"/>
      <c r="AT83" s="167"/>
      <c r="AU83" s="167"/>
      <c r="AV83" s="167"/>
      <c r="AW83" s="167"/>
      <c r="AX83" s="168"/>
    </row>
    <row r="84" spans="1:50" ht="9.75" customHeight="1" thickTop="1" thickBot="1">
      <c r="A84" s="69"/>
      <c r="B84" s="167"/>
      <c r="C84" s="167"/>
      <c r="D84" s="167"/>
      <c r="E84" s="167"/>
      <c r="F84" s="167"/>
      <c r="G84" s="167"/>
      <c r="H84" s="419"/>
      <c r="I84" s="420"/>
      <c r="J84" s="420"/>
      <c r="K84" s="420"/>
      <c r="L84" s="420"/>
      <c r="M84" s="420"/>
      <c r="N84" s="420"/>
      <c r="O84" s="421"/>
      <c r="P84" s="402"/>
      <c r="Q84" s="402"/>
      <c r="R84" s="402"/>
      <c r="S84" s="402"/>
      <c r="T84" s="402"/>
      <c r="U84" s="402"/>
      <c r="V84" s="402"/>
      <c r="W84" s="402"/>
      <c r="X84" s="402"/>
      <c r="Y84" s="402"/>
      <c r="Z84" s="402"/>
      <c r="AA84" s="402"/>
      <c r="AB84" s="402"/>
      <c r="AC84" s="402"/>
      <c r="AD84" s="402"/>
      <c r="AE84" s="402"/>
      <c r="AF84" s="402"/>
      <c r="AG84" s="402"/>
      <c r="AH84" s="402"/>
      <c r="AI84" s="402"/>
      <c r="AJ84" s="402"/>
      <c r="AK84" s="402"/>
      <c r="AL84" s="402"/>
      <c r="AM84" s="402"/>
      <c r="AN84" s="402"/>
      <c r="AO84" s="402"/>
      <c r="AP84" s="402"/>
      <c r="AQ84" s="402"/>
      <c r="AR84" s="167"/>
      <c r="AS84" s="167"/>
      <c r="AT84" s="167"/>
      <c r="AU84" s="167"/>
      <c r="AV84" s="167"/>
      <c r="AW84" s="167"/>
      <c r="AX84" s="168"/>
    </row>
    <row r="85" spans="1:50" ht="9.75" customHeight="1" thickTop="1" thickBot="1">
      <c r="A85" s="69"/>
      <c r="B85" s="167"/>
      <c r="C85" s="167"/>
      <c r="D85" s="167"/>
      <c r="E85" s="167"/>
      <c r="F85" s="167"/>
      <c r="G85" s="167"/>
      <c r="H85" s="419"/>
      <c r="I85" s="420"/>
      <c r="J85" s="420"/>
      <c r="K85" s="420"/>
      <c r="L85" s="420"/>
      <c r="M85" s="420"/>
      <c r="N85" s="420"/>
      <c r="O85" s="421"/>
      <c r="P85" s="402" t="s">
        <v>355</v>
      </c>
      <c r="Q85" s="402"/>
      <c r="R85" s="402"/>
      <c r="S85" s="402"/>
      <c r="T85" s="402"/>
      <c r="U85" s="402"/>
      <c r="V85" s="402"/>
      <c r="W85" s="402"/>
      <c r="X85" s="402"/>
      <c r="Y85" s="402"/>
      <c r="Z85" s="402"/>
      <c r="AA85" s="402"/>
      <c r="AB85" s="402"/>
      <c r="AC85" s="402"/>
      <c r="AD85" s="402"/>
      <c r="AE85" s="402"/>
      <c r="AF85" s="402"/>
      <c r="AG85" s="402"/>
      <c r="AH85" s="402"/>
      <c r="AI85" s="402"/>
      <c r="AJ85" s="402"/>
      <c r="AK85" s="402"/>
      <c r="AL85" s="402"/>
      <c r="AM85" s="402"/>
      <c r="AN85" s="402"/>
      <c r="AO85" s="402"/>
      <c r="AP85" s="402"/>
      <c r="AQ85" s="402"/>
      <c r="AR85" s="167"/>
      <c r="AS85" s="167"/>
      <c r="AT85" s="167"/>
      <c r="AU85" s="167"/>
      <c r="AV85" s="167"/>
      <c r="AW85" s="167"/>
      <c r="AX85" s="168"/>
    </row>
    <row r="86" spans="1:50" ht="9.75" customHeight="1" thickTop="1" thickBot="1">
      <c r="A86" s="69"/>
      <c r="B86" s="167"/>
      <c r="C86" s="167"/>
      <c r="D86" s="167"/>
      <c r="E86" s="167"/>
      <c r="F86" s="167"/>
      <c r="G86" s="167"/>
      <c r="H86" s="422"/>
      <c r="I86" s="423"/>
      <c r="J86" s="423"/>
      <c r="K86" s="423"/>
      <c r="L86" s="423"/>
      <c r="M86" s="423"/>
      <c r="N86" s="423"/>
      <c r="O86" s="424"/>
      <c r="P86" s="402"/>
      <c r="Q86" s="402"/>
      <c r="R86" s="402"/>
      <c r="S86" s="402"/>
      <c r="T86" s="402"/>
      <c r="U86" s="402"/>
      <c r="V86" s="402"/>
      <c r="W86" s="402"/>
      <c r="X86" s="402"/>
      <c r="Y86" s="402"/>
      <c r="Z86" s="402"/>
      <c r="AA86" s="402"/>
      <c r="AB86" s="402"/>
      <c r="AC86" s="402"/>
      <c r="AD86" s="402"/>
      <c r="AE86" s="402"/>
      <c r="AF86" s="402"/>
      <c r="AG86" s="402"/>
      <c r="AH86" s="402"/>
      <c r="AI86" s="402"/>
      <c r="AJ86" s="402"/>
      <c r="AK86" s="402"/>
      <c r="AL86" s="402"/>
      <c r="AM86" s="402"/>
      <c r="AN86" s="402"/>
      <c r="AO86" s="402"/>
      <c r="AP86" s="402"/>
      <c r="AQ86" s="402"/>
      <c r="AR86" s="167"/>
      <c r="AS86" s="167"/>
      <c r="AT86" s="167"/>
      <c r="AU86" s="167"/>
      <c r="AV86" s="167"/>
      <c r="AW86" s="167"/>
      <c r="AX86" s="168"/>
    </row>
    <row r="87" spans="1:50" ht="13.5" customHeight="1" thickTop="1" thickBot="1">
      <c r="A87" s="69"/>
      <c r="B87" s="167"/>
      <c r="C87" s="167"/>
      <c r="D87" s="167"/>
      <c r="E87" s="167"/>
      <c r="F87" s="167"/>
      <c r="G87" s="167"/>
      <c r="H87" s="403" t="s">
        <v>356</v>
      </c>
      <c r="I87" s="404"/>
      <c r="J87" s="404"/>
      <c r="K87" s="404"/>
      <c r="L87" s="404"/>
      <c r="M87" s="404"/>
      <c r="N87" s="404"/>
      <c r="O87" s="405"/>
      <c r="P87" s="375" t="str">
        <f>'秘書-input'!B48</f>
        <v>無</v>
      </c>
      <c r="Q87" s="364"/>
      <c r="R87" s="364"/>
      <c r="S87" s="364"/>
      <c r="T87" s="364"/>
      <c r="U87" s="364"/>
      <c r="V87" s="364"/>
      <c r="W87" s="364"/>
      <c r="X87" s="364"/>
      <c r="Y87" s="364"/>
      <c r="Z87" s="364"/>
      <c r="AA87" s="364"/>
      <c r="AB87" s="364"/>
      <c r="AC87" s="364"/>
      <c r="AD87" s="364"/>
      <c r="AE87" s="364"/>
      <c r="AF87" s="364"/>
      <c r="AG87" s="364"/>
      <c r="AH87" s="364"/>
      <c r="AI87" s="364"/>
      <c r="AJ87" s="364"/>
      <c r="AK87" s="364"/>
      <c r="AL87" s="364"/>
      <c r="AM87" s="364"/>
      <c r="AN87" s="364"/>
      <c r="AO87" s="364"/>
      <c r="AP87" s="364"/>
      <c r="AQ87" s="365"/>
      <c r="AR87" s="167"/>
      <c r="AS87" s="167"/>
      <c r="AT87" s="167"/>
      <c r="AU87" s="167"/>
      <c r="AV87" s="167"/>
      <c r="AW87" s="167"/>
      <c r="AX87" s="168"/>
    </row>
    <row r="88" spans="1:50" ht="12.75" customHeight="1" thickTop="1" thickBot="1">
      <c r="A88" s="69"/>
      <c r="B88" s="167"/>
      <c r="C88" s="167"/>
      <c r="D88" s="167"/>
      <c r="E88" s="167"/>
      <c r="F88" s="167"/>
      <c r="G88" s="167"/>
      <c r="H88" s="403"/>
      <c r="I88" s="404"/>
      <c r="J88" s="404"/>
      <c r="K88" s="404"/>
      <c r="L88" s="404"/>
      <c r="M88" s="404"/>
      <c r="N88" s="404"/>
      <c r="O88" s="405"/>
      <c r="P88" s="377"/>
      <c r="Q88" s="366"/>
      <c r="R88" s="366"/>
      <c r="S88" s="366"/>
      <c r="T88" s="366"/>
      <c r="U88" s="366"/>
      <c r="V88" s="366"/>
      <c r="W88" s="366"/>
      <c r="X88" s="366"/>
      <c r="Y88" s="366"/>
      <c r="Z88" s="366"/>
      <c r="AA88" s="366"/>
      <c r="AB88" s="366"/>
      <c r="AC88" s="366"/>
      <c r="AD88" s="366"/>
      <c r="AE88" s="366"/>
      <c r="AF88" s="366"/>
      <c r="AG88" s="366"/>
      <c r="AH88" s="366"/>
      <c r="AI88" s="366"/>
      <c r="AJ88" s="366"/>
      <c r="AK88" s="366"/>
      <c r="AL88" s="366"/>
      <c r="AM88" s="366"/>
      <c r="AN88" s="366"/>
      <c r="AO88" s="366"/>
      <c r="AP88" s="366"/>
      <c r="AQ88" s="367"/>
      <c r="AR88" s="167"/>
      <c r="AS88" s="167"/>
      <c r="AT88" s="167"/>
      <c r="AU88" s="167"/>
      <c r="AV88" s="167"/>
      <c r="AW88" s="167"/>
      <c r="AX88" s="168"/>
    </row>
    <row r="89" spans="1:50" ht="9.75" customHeight="1" thickTop="1">
      <c r="A89" s="69"/>
      <c r="B89" s="406" t="s">
        <v>357</v>
      </c>
      <c r="C89" s="406"/>
      <c r="D89" s="406"/>
      <c r="E89" s="406"/>
      <c r="F89" s="406"/>
      <c r="G89" s="406"/>
      <c r="H89" s="406"/>
      <c r="I89" s="406"/>
      <c r="J89" s="406"/>
      <c r="K89" s="406"/>
      <c r="L89" s="406"/>
      <c r="M89" s="406"/>
      <c r="N89" s="406"/>
      <c r="O89" s="406"/>
      <c r="P89" s="406"/>
      <c r="Q89" s="406"/>
      <c r="R89" s="406"/>
      <c r="S89" s="406"/>
      <c r="T89" s="406"/>
      <c r="U89" s="406"/>
      <c r="V89" s="406"/>
      <c r="W89" s="406"/>
      <c r="X89" s="406"/>
      <c r="Y89" s="406"/>
      <c r="Z89" s="406"/>
      <c r="AA89" s="406"/>
      <c r="AB89" s="406"/>
      <c r="AC89" s="406"/>
      <c r="AD89" s="406"/>
      <c r="AE89" s="406"/>
      <c r="AF89" s="406"/>
      <c r="AG89" s="406"/>
      <c r="AH89" s="406"/>
      <c r="AI89" s="406"/>
      <c r="AJ89" s="406"/>
      <c r="AK89" s="406"/>
      <c r="AL89" s="406"/>
      <c r="AM89" s="406"/>
      <c r="AN89" s="406"/>
      <c r="AO89" s="406"/>
      <c r="AP89" s="406"/>
      <c r="AQ89" s="406"/>
      <c r="AR89" s="406"/>
      <c r="AS89" s="406"/>
      <c r="AT89" s="406"/>
      <c r="AU89" s="406"/>
      <c r="AV89" s="406"/>
      <c r="AW89" s="406"/>
      <c r="AX89" s="407"/>
    </row>
    <row r="90" spans="1:50" ht="9.75" customHeight="1">
      <c r="B90" s="408"/>
      <c r="C90" s="406"/>
      <c r="D90" s="406"/>
      <c r="E90" s="406"/>
      <c r="F90" s="406"/>
      <c r="G90" s="406"/>
      <c r="H90" s="406"/>
      <c r="I90" s="406"/>
      <c r="J90" s="406"/>
      <c r="K90" s="406"/>
      <c r="L90" s="406"/>
      <c r="M90" s="406"/>
      <c r="N90" s="406"/>
      <c r="O90" s="406"/>
      <c r="P90" s="406"/>
      <c r="Q90" s="406"/>
      <c r="R90" s="406"/>
      <c r="S90" s="406"/>
      <c r="T90" s="406"/>
      <c r="U90" s="406"/>
      <c r="V90" s="406"/>
      <c r="W90" s="406"/>
      <c r="X90" s="406"/>
      <c r="Y90" s="406"/>
      <c r="Z90" s="406"/>
      <c r="AA90" s="406"/>
      <c r="AB90" s="406"/>
      <c r="AC90" s="406"/>
      <c r="AD90" s="406"/>
      <c r="AE90" s="406"/>
      <c r="AF90" s="406"/>
      <c r="AG90" s="406"/>
      <c r="AH90" s="406"/>
      <c r="AI90" s="406"/>
      <c r="AJ90" s="406"/>
      <c r="AK90" s="406"/>
      <c r="AL90" s="406"/>
      <c r="AM90" s="406"/>
      <c r="AN90" s="406"/>
      <c r="AO90" s="406"/>
      <c r="AP90" s="406"/>
      <c r="AQ90" s="406"/>
      <c r="AR90" s="406"/>
      <c r="AS90" s="406"/>
      <c r="AT90" s="406"/>
      <c r="AU90" s="406"/>
      <c r="AV90" s="406"/>
      <c r="AW90" s="406"/>
      <c r="AX90" s="407"/>
    </row>
    <row r="91" spans="1:50" ht="9.75" customHeight="1">
      <c r="B91" s="408"/>
      <c r="C91" s="406"/>
      <c r="D91" s="406"/>
      <c r="E91" s="406"/>
      <c r="F91" s="406"/>
      <c r="G91" s="406"/>
      <c r="H91" s="406"/>
      <c r="I91" s="406"/>
      <c r="J91" s="406"/>
      <c r="K91" s="406"/>
      <c r="L91" s="406"/>
      <c r="M91" s="406"/>
      <c r="N91" s="406"/>
      <c r="O91" s="406"/>
      <c r="P91" s="406"/>
      <c r="Q91" s="406"/>
      <c r="R91" s="406"/>
      <c r="S91" s="406"/>
      <c r="T91" s="406"/>
      <c r="U91" s="406"/>
      <c r="V91" s="406"/>
      <c r="W91" s="406"/>
      <c r="X91" s="406"/>
      <c r="Y91" s="406"/>
      <c r="Z91" s="406"/>
      <c r="AA91" s="406"/>
      <c r="AB91" s="406"/>
      <c r="AC91" s="406"/>
      <c r="AD91" s="406"/>
      <c r="AE91" s="406"/>
      <c r="AF91" s="406"/>
      <c r="AG91" s="406"/>
      <c r="AH91" s="406"/>
      <c r="AI91" s="406"/>
      <c r="AJ91" s="406"/>
      <c r="AK91" s="406"/>
      <c r="AL91" s="406"/>
      <c r="AM91" s="406"/>
      <c r="AN91" s="406"/>
      <c r="AO91" s="406"/>
      <c r="AP91" s="406"/>
      <c r="AQ91" s="406"/>
      <c r="AR91" s="406"/>
      <c r="AS91" s="406"/>
      <c r="AT91" s="406"/>
      <c r="AU91" s="406"/>
      <c r="AV91" s="406"/>
      <c r="AW91" s="406"/>
      <c r="AX91" s="407"/>
    </row>
    <row r="92" spans="1:50" ht="9.75" customHeight="1">
      <c r="B92" s="408" t="s">
        <v>358</v>
      </c>
      <c r="C92" s="406"/>
      <c r="D92" s="406"/>
      <c r="E92" s="406"/>
      <c r="F92" s="406"/>
      <c r="G92" s="406"/>
      <c r="H92" s="406"/>
      <c r="I92" s="406"/>
      <c r="J92" s="406"/>
      <c r="K92" s="406"/>
      <c r="L92" s="406"/>
      <c r="M92" s="406"/>
      <c r="N92" s="406"/>
      <c r="O92" s="406"/>
      <c r="P92" s="406"/>
      <c r="Q92" s="406"/>
      <c r="R92" s="406"/>
      <c r="S92" s="406"/>
      <c r="T92" s="406"/>
      <c r="U92" s="406"/>
      <c r="V92" s="406"/>
      <c r="W92" s="406"/>
      <c r="X92" s="406"/>
      <c r="Y92" s="406"/>
      <c r="Z92" s="406"/>
      <c r="AA92" s="406"/>
      <c r="AB92" s="406"/>
      <c r="AC92" s="406"/>
      <c r="AD92" s="406"/>
      <c r="AE92" s="406"/>
      <c r="AF92" s="406"/>
      <c r="AG92" s="406"/>
      <c r="AH92" s="406"/>
      <c r="AI92" s="406"/>
      <c r="AJ92" s="406"/>
      <c r="AK92" s="406"/>
      <c r="AL92" s="406"/>
      <c r="AM92" s="406"/>
      <c r="AN92" s="406"/>
      <c r="AO92" s="406"/>
      <c r="AP92" s="406"/>
      <c r="AQ92" s="406"/>
      <c r="AR92" s="406"/>
      <c r="AS92" s="406"/>
      <c r="AT92" s="406"/>
      <c r="AU92" s="406"/>
      <c r="AV92" s="406"/>
      <c r="AW92" s="406"/>
      <c r="AX92" s="407"/>
    </row>
    <row r="93" spans="1:50" ht="9.75" customHeight="1">
      <c r="B93" s="408"/>
      <c r="C93" s="406"/>
      <c r="D93" s="406"/>
      <c r="E93" s="406"/>
      <c r="F93" s="406"/>
      <c r="G93" s="406"/>
      <c r="H93" s="406"/>
      <c r="I93" s="406"/>
      <c r="J93" s="406"/>
      <c r="K93" s="406"/>
      <c r="L93" s="406"/>
      <c r="M93" s="406"/>
      <c r="N93" s="406"/>
      <c r="O93" s="406"/>
      <c r="P93" s="406"/>
      <c r="Q93" s="406"/>
      <c r="R93" s="406"/>
      <c r="S93" s="406"/>
      <c r="T93" s="406"/>
      <c r="U93" s="406"/>
      <c r="V93" s="406"/>
      <c r="W93" s="406"/>
      <c r="X93" s="406"/>
      <c r="Y93" s="406"/>
      <c r="Z93" s="406"/>
      <c r="AA93" s="406"/>
      <c r="AB93" s="406"/>
      <c r="AC93" s="406"/>
      <c r="AD93" s="406"/>
      <c r="AE93" s="406"/>
      <c r="AF93" s="406"/>
      <c r="AG93" s="406"/>
      <c r="AH93" s="406"/>
      <c r="AI93" s="406"/>
      <c r="AJ93" s="406"/>
      <c r="AK93" s="406"/>
      <c r="AL93" s="406"/>
      <c r="AM93" s="406"/>
      <c r="AN93" s="406"/>
      <c r="AO93" s="406"/>
      <c r="AP93" s="406"/>
      <c r="AQ93" s="406"/>
      <c r="AR93" s="406"/>
      <c r="AS93" s="406"/>
      <c r="AT93" s="406"/>
      <c r="AU93" s="406"/>
      <c r="AV93" s="406"/>
      <c r="AW93" s="406"/>
      <c r="AX93" s="407"/>
    </row>
    <row r="94" spans="1:50" ht="9.75" customHeight="1">
      <c r="B94" s="408"/>
      <c r="C94" s="406"/>
      <c r="D94" s="406"/>
      <c r="E94" s="406"/>
      <c r="F94" s="406"/>
      <c r="G94" s="406"/>
      <c r="H94" s="406"/>
      <c r="I94" s="406"/>
      <c r="J94" s="406"/>
      <c r="K94" s="406"/>
      <c r="L94" s="406"/>
      <c r="M94" s="406"/>
      <c r="N94" s="406"/>
      <c r="O94" s="406"/>
      <c r="P94" s="406"/>
      <c r="Q94" s="406"/>
      <c r="R94" s="406"/>
      <c r="S94" s="406"/>
      <c r="T94" s="406"/>
      <c r="U94" s="406"/>
      <c r="V94" s="406"/>
      <c r="W94" s="406"/>
      <c r="X94" s="406"/>
      <c r="Y94" s="406"/>
      <c r="Z94" s="406"/>
      <c r="AA94" s="406"/>
      <c r="AB94" s="406"/>
      <c r="AC94" s="406"/>
      <c r="AD94" s="406"/>
      <c r="AE94" s="406"/>
      <c r="AF94" s="406"/>
      <c r="AG94" s="406"/>
      <c r="AH94" s="406"/>
      <c r="AI94" s="406"/>
      <c r="AJ94" s="406"/>
      <c r="AK94" s="406"/>
      <c r="AL94" s="406"/>
      <c r="AM94" s="406"/>
      <c r="AN94" s="406"/>
      <c r="AO94" s="406"/>
      <c r="AP94" s="406"/>
      <c r="AQ94" s="406"/>
      <c r="AR94" s="406"/>
      <c r="AS94" s="406"/>
      <c r="AT94" s="406"/>
      <c r="AU94" s="406"/>
      <c r="AV94" s="406"/>
      <c r="AW94" s="406"/>
      <c r="AX94" s="407"/>
    </row>
    <row r="95" spans="1:50" ht="9.75" customHeight="1">
      <c r="B95" s="408"/>
      <c r="C95" s="406"/>
      <c r="D95" s="406"/>
      <c r="E95" s="406"/>
      <c r="F95" s="406"/>
      <c r="G95" s="406"/>
      <c r="H95" s="406"/>
      <c r="I95" s="406"/>
      <c r="J95" s="406"/>
      <c r="K95" s="406"/>
      <c r="L95" s="406"/>
      <c r="M95" s="406"/>
      <c r="N95" s="406"/>
      <c r="O95" s="406"/>
      <c r="P95" s="406"/>
      <c r="Q95" s="406"/>
      <c r="R95" s="406"/>
      <c r="S95" s="406"/>
      <c r="T95" s="406"/>
      <c r="U95" s="406"/>
      <c r="V95" s="406"/>
      <c r="W95" s="406"/>
      <c r="X95" s="406"/>
      <c r="Y95" s="406"/>
      <c r="Z95" s="406"/>
      <c r="AA95" s="406"/>
      <c r="AB95" s="406"/>
      <c r="AC95" s="406"/>
      <c r="AD95" s="406"/>
      <c r="AE95" s="406"/>
      <c r="AF95" s="406"/>
      <c r="AG95" s="406"/>
      <c r="AH95" s="406"/>
      <c r="AI95" s="406"/>
      <c r="AJ95" s="406"/>
      <c r="AK95" s="406"/>
      <c r="AL95" s="406"/>
      <c r="AM95" s="406"/>
      <c r="AN95" s="406"/>
      <c r="AO95" s="406"/>
      <c r="AP95" s="406"/>
      <c r="AQ95" s="406"/>
      <c r="AR95" s="406"/>
      <c r="AS95" s="406"/>
      <c r="AT95" s="406"/>
      <c r="AU95" s="406"/>
      <c r="AV95" s="406"/>
      <c r="AW95" s="406"/>
      <c r="AX95" s="407"/>
    </row>
    <row r="96" spans="1:50" ht="9.75" customHeight="1" thickBot="1">
      <c r="B96" s="409"/>
      <c r="C96" s="410"/>
      <c r="D96" s="410"/>
      <c r="E96" s="410"/>
      <c r="F96" s="410"/>
      <c r="G96" s="410"/>
      <c r="H96" s="410"/>
      <c r="I96" s="410"/>
      <c r="J96" s="410"/>
      <c r="K96" s="410"/>
      <c r="L96" s="410"/>
      <c r="M96" s="410"/>
      <c r="N96" s="410"/>
      <c r="O96" s="410"/>
      <c r="P96" s="410"/>
      <c r="Q96" s="410"/>
      <c r="R96" s="410"/>
      <c r="S96" s="410"/>
      <c r="T96" s="410"/>
      <c r="U96" s="410"/>
      <c r="V96" s="410"/>
      <c r="W96" s="410"/>
      <c r="X96" s="410"/>
      <c r="Y96" s="410"/>
      <c r="Z96" s="410"/>
      <c r="AA96" s="410"/>
      <c r="AB96" s="410"/>
      <c r="AC96" s="410"/>
      <c r="AD96" s="410"/>
      <c r="AE96" s="410"/>
      <c r="AF96" s="410"/>
      <c r="AG96" s="410"/>
      <c r="AH96" s="410"/>
      <c r="AI96" s="410"/>
      <c r="AJ96" s="410"/>
      <c r="AK96" s="410"/>
      <c r="AL96" s="410"/>
      <c r="AM96" s="410"/>
      <c r="AN96" s="410"/>
      <c r="AO96" s="410"/>
      <c r="AP96" s="410"/>
      <c r="AQ96" s="410"/>
      <c r="AR96" s="410"/>
      <c r="AS96" s="410"/>
      <c r="AT96" s="410"/>
      <c r="AU96" s="410"/>
      <c r="AV96" s="410"/>
      <c r="AW96" s="410"/>
      <c r="AX96" s="411"/>
    </row>
    <row r="97" ht="9.75" customHeight="1" thickTop="1"/>
  </sheetData>
  <mergeCells count="151">
    <mergeCell ref="H35:S36"/>
    <mergeCell ref="T35:AB36"/>
    <mergeCell ref="AC35:AQ36"/>
    <mergeCell ref="T13:Z14"/>
    <mergeCell ref="AA13:AF14"/>
    <mergeCell ref="T23:Z24"/>
    <mergeCell ref="T17:Z18"/>
    <mergeCell ref="AP13:AQ14"/>
    <mergeCell ref="AG13:AI14"/>
    <mergeCell ref="AJ13:AO14"/>
    <mergeCell ref="H23:S24"/>
    <mergeCell ref="H49:S50"/>
    <mergeCell ref="T45:Z46"/>
    <mergeCell ref="H45:S46"/>
    <mergeCell ref="H51:S52"/>
    <mergeCell ref="T51:Z52"/>
    <mergeCell ref="T47:Z48"/>
    <mergeCell ref="H47:S48"/>
    <mergeCell ref="H43:S44"/>
    <mergeCell ref="H41:S42"/>
    <mergeCell ref="H11:S12"/>
    <mergeCell ref="H13:S14"/>
    <mergeCell ref="H15:S16"/>
    <mergeCell ref="H17:S18"/>
    <mergeCell ref="H19:S20"/>
    <mergeCell ref="H21:S22"/>
    <mergeCell ref="H5:S6"/>
    <mergeCell ref="H7:S8"/>
    <mergeCell ref="T7:AB8"/>
    <mergeCell ref="AC7:AQ8"/>
    <mergeCell ref="H9:S10"/>
    <mergeCell ref="T9:Z10"/>
    <mergeCell ref="AA9:AF10"/>
    <mergeCell ref="AG9:AI10"/>
    <mergeCell ref="AJ9:AO10"/>
    <mergeCell ref="AP9:AQ10"/>
    <mergeCell ref="T11:Z12"/>
    <mergeCell ref="AA11:AF12"/>
    <mergeCell ref="AG11:AQ12"/>
    <mergeCell ref="T15:AQ16"/>
    <mergeCell ref="AA17:AQ18"/>
    <mergeCell ref="T19:Z20"/>
    <mergeCell ref="AA19:AQ20"/>
    <mergeCell ref="T21:AB22"/>
    <mergeCell ref="AC21:AQ22"/>
    <mergeCell ref="AA23:AF24"/>
    <mergeCell ref="AG23:AI24"/>
    <mergeCell ref="AJ23:AO24"/>
    <mergeCell ref="AP23:AQ24"/>
    <mergeCell ref="H25:S26"/>
    <mergeCell ref="T25:Z26"/>
    <mergeCell ref="AA25:AF26"/>
    <mergeCell ref="AG25:AQ26"/>
    <mergeCell ref="H27:S28"/>
    <mergeCell ref="T27:Z28"/>
    <mergeCell ref="AA27:AF28"/>
    <mergeCell ref="AG27:AI28"/>
    <mergeCell ref="AJ27:AO28"/>
    <mergeCell ref="AP27:AQ28"/>
    <mergeCell ref="H29:S30"/>
    <mergeCell ref="T29:AQ30"/>
    <mergeCell ref="H31:S32"/>
    <mergeCell ref="T31:Z32"/>
    <mergeCell ref="AA31:AQ32"/>
    <mergeCell ref="H33:S34"/>
    <mergeCell ref="T33:Z34"/>
    <mergeCell ref="AA33:AQ34"/>
    <mergeCell ref="H37:S38"/>
    <mergeCell ref="T37:Z38"/>
    <mergeCell ref="AA37:AF38"/>
    <mergeCell ref="AG37:AI38"/>
    <mergeCell ref="AJ37:AO38"/>
    <mergeCell ref="AP37:AQ38"/>
    <mergeCell ref="H39:S40"/>
    <mergeCell ref="T39:Z40"/>
    <mergeCell ref="AA39:AF40"/>
    <mergeCell ref="AG39:AQ40"/>
    <mergeCell ref="T41:Z42"/>
    <mergeCell ref="AA41:AF42"/>
    <mergeCell ref="AG41:AI42"/>
    <mergeCell ref="AJ41:AO42"/>
    <mergeCell ref="AP41:AQ42"/>
    <mergeCell ref="T43:AQ44"/>
    <mergeCell ref="AA45:AQ46"/>
    <mergeCell ref="AA47:AQ48"/>
    <mergeCell ref="T49:AB50"/>
    <mergeCell ref="AC49:AQ50"/>
    <mergeCell ref="AA51:AF52"/>
    <mergeCell ref="AG51:AI52"/>
    <mergeCell ref="AJ51:AO52"/>
    <mergeCell ref="AP51:AQ52"/>
    <mergeCell ref="AA53:AF54"/>
    <mergeCell ref="AG53:AQ54"/>
    <mergeCell ref="H55:S56"/>
    <mergeCell ref="T55:Z56"/>
    <mergeCell ref="AA55:AF56"/>
    <mergeCell ref="AG55:AI56"/>
    <mergeCell ref="AJ55:AO56"/>
    <mergeCell ref="AP55:AQ56"/>
    <mergeCell ref="T53:Z54"/>
    <mergeCell ref="H53:S54"/>
    <mergeCell ref="AJ65:AO66"/>
    <mergeCell ref="AP65:AQ66"/>
    <mergeCell ref="H57:S58"/>
    <mergeCell ref="T57:AQ58"/>
    <mergeCell ref="H59:S60"/>
    <mergeCell ref="T59:Z60"/>
    <mergeCell ref="AA59:AQ60"/>
    <mergeCell ref="H61:S62"/>
    <mergeCell ref="T61:Z62"/>
    <mergeCell ref="AA61:AQ62"/>
    <mergeCell ref="AG69:AI70"/>
    <mergeCell ref="AJ69:AO70"/>
    <mergeCell ref="AP69:AQ70"/>
    <mergeCell ref="H63:S64"/>
    <mergeCell ref="T63:AB64"/>
    <mergeCell ref="AC63:AQ64"/>
    <mergeCell ref="H65:S66"/>
    <mergeCell ref="T65:Z66"/>
    <mergeCell ref="AA65:AF66"/>
    <mergeCell ref="AG65:AI66"/>
    <mergeCell ref="H75:S76"/>
    <mergeCell ref="T75:Z76"/>
    <mergeCell ref="AA75:AQ76"/>
    <mergeCell ref="H67:S68"/>
    <mergeCell ref="T67:Z68"/>
    <mergeCell ref="AA67:AF68"/>
    <mergeCell ref="AG67:AQ68"/>
    <mergeCell ref="H69:S70"/>
    <mergeCell ref="T69:Z70"/>
    <mergeCell ref="AA69:AF70"/>
    <mergeCell ref="W79:AC80"/>
    <mergeCell ref="AD79:AJ80"/>
    <mergeCell ref="AK79:AQ80"/>
    <mergeCell ref="P81:AQ82"/>
    <mergeCell ref="P83:AQ84"/>
    <mergeCell ref="H71:S72"/>
    <mergeCell ref="T71:AQ72"/>
    <mergeCell ref="H73:S74"/>
    <mergeCell ref="T73:Z74"/>
    <mergeCell ref="AA73:AQ74"/>
    <mergeCell ref="P85:AQ86"/>
    <mergeCell ref="H87:O88"/>
    <mergeCell ref="P87:AQ88"/>
    <mergeCell ref="B89:AX91"/>
    <mergeCell ref="B92:AX96"/>
    <mergeCell ref="H77:S78"/>
    <mergeCell ref="T77:AK78"/>
    <mergeCell ref="AL77:AQ78"/>
    <mergeCell ref="H79:O86"/>
    <mergeCell ref="P79:V80"/>
  </mergeCells>
  <phoneticPr fontId="2" type="noConversion"/>
  <pageMargins left="0.94488188976377963" right="0.35433070866141736" top="0.19685039370078741" bottom="0" header="0.51181102362204722" footer="0.51181102362204722"/>
  <pageSetup paperSize="9"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1:BC75"/>
  <sheetViews>
    <sheetView topLeftCell="A10" workbookViewId="0">
      <selection activeCell="BM33" sqref="BM33"/>
    </sheetView>
  </sheetViews>
  <sheetFormatPr defaultColWidth="1.875" defaultRowHeight="11.25" customHeight="1"/>
  <cols>
    <col min="1" max="50" width="1.875" style="67" customWidth="1"/>
    <col min="51" max="55" width="1.875" style="91" customWidth="1"/>
    <col min="56" max="16384" width="1.875" style="67"/>
  </cols>
  <sheetData>
    <row r="1" spans="2:50" ht="11.25" customHeight="1" thickBot="1"/>
    <row r="2" spans="2:50" ht="11.25" customHeight="1" thickTop="1">
      <c r="B2" s="64"/>
      <c r="C2" s="65"/>
      <c r="D2" s="65"/>
      <c r="E2" s="65"/>
      <c r="F2" s="65"/>
      <c r="G2" s="65"/>
      <c r="H2" s="65"/>
      <c r="I2" s="65"/>
      <c r="J2" s="65"/>
      <c r="K2" s="65"/>
      <c r="L2" s="65"/>
      <c r="M2" s="65"/>
      <c r="N2" s="65"/>
      <c r="O2" s="65"/>
      <c r="P2" s="65"/>
      <c r="Q2" s="65"/>
      <c r="R2" s="65"/>
      <c r="S2" s="65"/>
      <c r="T2" s="65"/>
      <c r="U2" s="65"/>
      <c r="V2" s="65"/>
      <c r="W2" s="65"/>
      <c r="X2" s="65"/>
      <c r="Y2" s="65"/>
      <c r="Z2" s="65"/>
      <c r="AA2" s="65"/>
      <c r="AB2" s="65"/>
      <c r="AC2" s="65"/>
      <c r="AD2" s="65"/>
      <c r="AE2" s="65"/>
      <c r="AF2" s="65"/>
      <c r="AG2" s="65"/>
      <c r="AH2" s="65"/>
      <c r="AI2" s="65"/>
      <c r="AJ2" s="65"/>
      <c r="AK2" s="65"/>
      <c r="AL2" s="65"/>
      <c r="AM2" s="65"/>
      <c r="AN2" s="65"/>
      <c r="AO2" s="65"/>
      <c r="AP2" s="65"/>
      <c r="AQ2" s="65"/>
      <c r="AR2" s="65"/>
      <c r="AS2" s="65"/>
      <c r="AT2" s="65"/>
      <c r="AU2" s="65"/>
      <c r="AV2" s="65"/>
      <c r="AW2" s="65"/>
      <c r="AX2" s="66"/>
    </row>
    <row r="3" spans="2:50" ht="11.25" customHeight="1">
      <c r="B3" s="68"/>
      <c r="AX3" s="69"/>
    </row>
    <row r="4" spans="2:50" ht="11.25" customHeight="1">
      <c r="B4" s="68"/>
      <c r="AX4" s="69"/>
    </row>
    <row r="5" spans="2:50" ht="11.25" customHeight="1">
      <c r="B5" s="68"/>
      <c r="AX5" s="69"/>
    </row>
    <row r="6" spans="2:50" ht="11.25" customHeight="1">
      <c r="B6" s="68"/>
      <c r="AX6" s="69"/>
    </row>
    <row r="7" spans="2:50" ht="11.25" customHeight="1" thickBot="1">
      <c r="B7" s="77"/>
      <c r="C7" s="78"/>
      <c r="D7" s="78"/>
      <c r="E7" s="78"/>
      <c r="F7" s="78"/>
      <c r="G7" s="78"/>
      <c r="H7" s="78"/>
      <c r="I7" s="78"/>
      <c r="J7" s="78"/>
      <c r="K7" s="78"/>
      <c r="L7" s="78"/>
      <c r="M7" s="78"/>
      <c r="N7" s="78"/>
      <c r="O7" s="78"/>
      <c r="P7" s="78"/>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9"/>
    </row>
    <row r="8" spans="2:50" ht="11.25" customHeight="1" thickTop="1" thickBot="1">
      <c r="B8" s="461" t="s">
        <v>135</v>
      </c>
      <c r="C8" s="461"/>
      <c r="D8" s="461"/>
      <c r="E8" s="461"/>
      <c r="F8" s="461"/>
      <c r="G8" s="461"/>
      <c r="H8" s="461"/>
      <c r="I8" s="461"/>
      <c r="J8" s="461"/>
      <c r="K8" s="461"/>
      <c r="L8" s="461"/>
      <c r="M8" s="461"/>
      <c r="N8" s="462" t="str">
        <f>'秘書-input'!B2</f>
        <v>售</v>
      </c>
      <c r="O8" s="462"/>
      <c r="P8" s="462"/>
      <c r="Q8" s="462"/>
      <c r="R8" s="462"/>
      <c r="S8" s="462"/>
      <c r="T8" s="462"/>
      <c r="U8" s="462"/>
      <c r="V8" s="462"/>
      <c r="W8" s="462"/>
      <c r="X8" s="462"/>
      <c r="Y8" s="462"/>
      <c r="Z8" s="462"/>
      <c r="AA8" s="462"/>
      <c r="AB8" s="462"/>
      <c r="AC8" s="462"/>
      <c r="AD8" s="462"/>
      <c r="AE8" s="462"/>
      <c r="AF8" s="462"/>
      <c r="AG8" s="462"/>
      <c r="AH8" s="462"/>
      <c r="AI8" s="462"/>
      <c r="AJ8" s="462"/>
      <c r="AK8" s="462"/>
      <c r="AL8" s="462"/>
      <c r="AM8" s="462"/>
      <c r="AN8" s="462"/>
      <c r="AO8" s="462"/>
      <c r="AP8" s="462"/>
      <c r="AQ8" s="462"/>
      <c r="AR8" s="462"/>
      <c r="AS8" s="462"/>
      <c r="AT8" s="462"/>
      <c r="AU8" s="462"/>
      <c r="AV8" s="462"/>
      <c r="AW8" s="462"/>
      <c r="AX8" s="462"/>
    </row>
    <row r="9" spans="2:50" ht="11.25" customHeight="1" thickTop="1" thickBot="1">
      <c r="B9" s="461"/>
      <c r="C9" s="461"/>
      <c r="D9" s="461"/>
      <c r="E9" s="461"/>
      <c r="F9" s="461"/>
      <c r="G9" s="461"/>
      <c r="H9" s="461"/>
      <c r="I9" s="461"/>
      <c r="J9" s="461"/>
      <c r="K9" s="461"/>
      <c r="L9" s="461"/>
      <c r="M9" s="461"/>
      <c r="N9" s="462"/>
      <c r="O9" s="462"/>
      <c r="P9" s="462"/>
      <c r="Q9" s="462"/>
      <c r="R9" s="462"/>
      <c r="S9" s="462"/>
      <c r="T9" s="462"/>
      <c r="U9" s="462"/>
      <c r="V9" s="462"/>
      <c r="W9" s="462"/>
      <c r="X9" s="462"/>
      <c r="Y9" s="462"/>
      <c r="Z9" s="462"/>
      <c r="AA9" s="462"/>
      <c r="AB9" s="462"/>
      <c r="AC9" s="462"/>
      <c r="AD9" s="462"/>
      <c r="AE9" s="462"/>
      <c r="AF9" s="462"/>
      <c r="AG9" s="462"/>
      <c r="AH9" s="462"/>
      <c r="AI9" s="462"/>
      <c r="AJ9" s="462"/>
      <c r="AK9" s="462"/>
      <c r="AL9" s="462"/>
      <c r="AM9" s="462"/>
      <c r="AN9" s="462"/>
      <c r="AO9" s="462"/>
      <c r="AP9" s="462"/>
      <c r="AQ9" s="462"/>
      <c r="AR9" s="462"/>
      <c r="AS9" s="462"/>
      <c r="AT9" s="462"/>
      <c r="AU9" s="462"/>
      <c r="AV9" s="462"/>
      <c r="AW9" s="462"/>
      <c r="AX9" s="462"/>
    </row>
    <row r="10" spans="2:50" ht="11.25" customHeight="1" thickTop="1" thickBot="1">
      <c r="B10" s="461"/>
      <c r="C10" s="461"/>
      <c r="D10" s="461"/>
      <c r="E10" s="461"/>
      <c r="F10" s="461"/>
      <c r="G10" s="461"/>
      <c r="H10" s="461"/>
      <c r="I10" s="461"/>
      <c r="J10" s="461"/>
      <c r="K10" s="461"/>
      <c r="L10" s="461"/>
      <c r="M10" s="461"/>
      <c r="N10" s="462"/>
      <c r="O10" s="462"/>
      <c r="P10" s="462"/>
      <c r="Q10" s="462"/>
      <c r="R10" s="462"/>
      <c r="S10" s="462"/>
      <c r="T10" s="462"/>
      <c r="U10" s="462"/>
      <c r="V10" s="462"/>
      <c r="W10" s="462"/>
      <c r="X10" s="462"/>
      <c r="Y10" s="462"/>
      <c r="Z10" s="462"/>
      <c r="AA10" s="462"/>
      <c r="AB10" s="462"/>
      <c r="AC10" s="462"/>
      <c r="AD10" s="462"/>
      <c r="AE10" s="462"/>
      <c r="AF10" s="462"/>
      <c r="AG10" s="462"/>
      <c r="AH10" s="462"/>
      <c r="AI10" s="462"/>
      <c r="AJ10" s="462"/>
      <c r="AK10" s="462"/>
      <c r="AL10" s="462"/>
      <c r="AM10" s="462"/>
      <c r="AN10" s="462"/>
      <c r="AO10" s="462"/>
      <c r="AP10" s="462"/>
      <c r="AQ10" s="462"/>
      <c r="AR10" s="462"/>
      <c r="AS10" s="462"/>
      <c r="AT10" s="462"/>
      <c r="AU10" s="462"/>
      <c r="AV10" s="462"/>
      <c r="AW10" s="462"/>
      <c r="AX10" s="462"/>
    </row>
    <row r="11" spans="2:50" ht="11.25" customHeight="1" thickTop="1" thickBot="1">
      <c r="B11" s="461"/>
      <c r="C11" s="461"/>
      <c r="D11" s="461"/>
      <c r="E11" s="461"/>
      <c r="F11" s="461"/>
      <c r="G11" s="461"/>
      <c r="H11" s="461"/>
      <c r="I11" s="461"/>
      <c r="J11" s="461"/>
      <c r="K11" s="461"/>
      <c r="L11" s="461"/>
      <c r="M11" s="461"/>
      <c r="N11" s="462"/>
      <c r="O11" s="462"/>
      <c r="P11" s="462"/>
      <c r="Q11" s="462"/>
      <c r="R11" s="462"/>
      <c r="S11" s="462"/>
      <c r="T11" s="462"/>
      <c r="U11" s="462"/>
      <c r="V11" s="462"/>
      <c r="W11" s="462"/>
      <c r="X11" s="462"/>
      <c r="Y11" s="462"/>
      <c r="Z11" s="462"/>
      <c r="AA11" s="462"/>
      <c r="AB11" s="462"/>
      <c r="AC11" s="462"/>
      <c r="AD11" s="462"/>
      <c r="AE11" s="462"/>
      <c r="AF11" s="462"/>
      <c r="AG11" s="462"/>
      <c r="AH11" s="462"/>
      <c r="AI11" s="462"/>
      <c r="AJ11" s="462"/>
      <c r="AK11" s="462"/>
      <c r="AL11" s="462"/>
      <c r="AM11" s="462"/>
      <c r="AN11" s="462"/>
      <c r="AO11" s="462"/>
      <c r="AP11" s="462"/>
      <c r="AQ11" s="462"/>
      <c r="AR11" s="462"/>
      <c r="AS11" s="462"/>
      <c r="AT11" s="462"/>
      <c r="AU11" s="462"/>
      <c r="AV11" s="462"/>
      <c r="AW11" s="462"/>
      <c r="AX11" s="462"/>
    </row>
    <row r="12" spans="2:50" ht="11.25" customHeight="1" thickTop="1" thickBot="1">
      <c r="B12" s="461"/>
      <c r="C12" s="461"/>
      <c r="D12" s="461"/>
      <c r="E12" s="461"/>
      <c r="F12" s="461"/>
      <c r="G12" s="461"/>
      <c r="H12" s="461"/>
      <c r="I12" s="461"/>
      <c r="J12" s="461"/>
      <c r="K12" s="461"/>
      <c r="L12" s="461"/>
      <c r="M12" s="461"/>
      <c r="N12" s="462"/>
      <c r="O12" s="462"/>
      <c r="P12" s="462"/>
      <c r="Q12" s="462"/>
      <c r="R12" s="462"/>
      <c r="S12" s="462"/>
      <c r="T12" s="462"/>
      <c r="U12" s="462"/>
      <c r="V12" s="462"/>
      <c r="W12" s="462"/>
      <c r="X12" s="462"/>
      <c r="Y12" s="462"/>
      <c r="Z12" s="462"/>
      <c r="AA12" s="462"/>
      <c r="AB12" s="462"/>
      <c r="AC12" s="462"/>
      <c r="AD12" s="462"/>
      <c r="AE12" s="462"/>
      <c r="AF12" s="462"/>
      <c r="AG12" s="462"/>
      <c r="AH12" s="462"/>
      <c r="AI12" s="462"/>
      <c r="AJ12" s="462"/>
      <c r="AK12" s="462"/>
      <c r="AL12" s="462"/>
      <c r="AM12" s="462"/>
      <c r="AN12" s="462"/>
      <c r="AO12" s="462"/>
      <c r="AP12" s="462"/>
      <c r="AQ12" s="462"/>
      <c r="AR12" s="462"/>
      <c r="AS12" s="462"/>
      <c r="AT12" s="462"/>
      <c r="AU12" s="462"/>
      <c r="AV12" s="462"/>
      <c r="AW12" s="462"/>
      <c r="AX12" s="462"/>
    </row>
    <row r="13" spans="2:50" ht="11.25" customHeight="1" thickTop="1" thickBot="1">
      <c r="B13" s="461" t="s">
        <v>136</v>
      </c>
      <c r="C13" s="461"/>
      <c r="D13" s="461"/>
      <c r="E13" s="461"/>
      <c r="F13" s="461"/>
      <c r="G13" s="461"/>
      <c r="H13" s="461"/>
      <c r="I13" s="461"/>
      <c r="J13" s="461"/>
      <c r="K13" s="461"/>
      <c r="L13" s="461"/>
      <c r="M13" s="461"/>
      <c r="N13" s="463">
        <f>'秘書-input'!B10</f>
        <v>7588</v>
      </c>
      <c r="O13" s="464"/>
      <c r="P13" s="464"/>
      <c r="Q13" s="464"/>
      <c r="R13" s="464"/>
      <c r="S13" s="464"/>
      <c r="T13" s="464"/>
      <c r="U13" s="464"/>
      <c r="V13" s="464"/>
      <c r="W13" s="464"/>
      <c r="X13" s="464"/>
      <c r="Y13" s="464"/>
      <c r="Z13" s="464"/>
      <c r="AA13" s="464"/>
      <c r="AB13" s="464"/>
      <c r="AC13" s="464"/>
      <c r="AD13" s="464"/>
      <c r="AE13" s="464"/>
      <c r="AF13" s="464"/>
      <c r="AG13" s="469" t="s">
        <v>4</v>
      </c>
      <c r="AH13" s="469"/>
      <c r="AI13" s="469"/>
      <c r="AJ13" s="469"/>
      <c r="AK13" s="469"/>
      <c r="AL13" s="469"/>
      <c r="AM13" s="469"/>
      <c r="AN13" s="469"/>
      <c r="AO13" s="469"/>
      <c r="AP13" s="469"/>
      <c r="AQ13" s="469"/>
      <c r="AR13" s="469"/>
      <c r="AS13" s="469"/>
      <c r="AT13" s="469"/>
      <c r="AU13" s="469"/>
      <c r="AV13" s="469"/>
      <c r="AW13" s="469"/>
      <c r="AX13" s="470"/>
    </row>
    <row r="14" spans="2:50" ht="11.25" customHeight="1" thickTop="1" thickBot="1">
      <c r="B14" s="461"/>
      <c r="C14" s="461"/>
      <c r="D14" s="461"/>
      <c r="E14" s="461"/>
      <c r="F14" s="461"/>
      <c r="G14" s="461"/>
      <c r="H14" s="461"/>
      <c r="I14" s="461"/>
      <c r="J14" s="461"/>
      <c r="K14" s="461"/>
      <c r="L14" s="461"/>
      <c r="M14" s="461"/>
      <c r="N14" s="465"/>
      <c r="O14" s="466"/>
      <c r="P14" s="466"/>
      <c r="Q14" s="466"/>
      <c r="R14" s="466"/>
      <c r="S14" s="466"/>
      <c r="T14" s="466"/>
      <c r="U14" s="466"/>
      <c r="V14" s="466"/>
      <c r="W14" s="466"/>
      <c r="X14" s="466"/>
      <c r="Y14" s="466"/>
      <c r="Z14" s="466"/>
      <c r="AA14" s="466"/>
      <c r="AB14" s="466"/>
      <c r="AC14" s="466"/>
      <c r="AD14" s="466"/>
      <c r="AE14" s="466"/>
      <c r="AF14" s="466"/>
      <c r="AG14" s="471"/>
      <c r="AH14" s="471"/>
      <c r="AI14" s="471"/>
      <c r="AJ14" s="471"/>
      <c r="AK14" s="471"/>
      <c r="AL14" s="471"/>
      <c r="AM14" s="471"/>
      <c r="AN14" s="471"/>
      <c r="AO14" s="471"/>
      <c r="AP14" s="471"/>
      <c r="AQ14" s="471"/>
      <c r="AR14" s="471"/>
      <c r="AS14" s="471"/>
      <c r="AT14" s="471"/>
      <c r="AU14" s="471"/>
      <c r="AV14" s="471"/>
      <c r="AW14" s="471"/>
      <c r="AX14" s="472"/>
    </row>
    <row r="15" spans="2:50" ht="11.25" customHeight="1" thickTop="1" thickBot="1">
      <c r="B15" s="461"/>
      <c r="C15" s="461"/>
      <c r="D15" s="461"/>
      <c r="E15" s="461"/>
      <c r="F15" s="461"/>
      <c r="G15" s="461"/>
      <c r="H15" s="461"/>
      <c r="I15" s="461"/>
      <c r="J15" s="461"/>
      <c r="K15" s="461"/>
      <c r="L15" s="461"/>
      <c r="M15" s="461"/>
      <c r="N15" s="465"/>
      <c r="O15" s="466"/>
      <c r="P15" s="466"/>
      <c r="Q15" s="466"/>
      <c r="R15" s="466"/>
      <c r="S15" s="466"/>
      <c r="T15" s="466"/>
      <c r="U15" s="466"/>
      <c r="V15" s="466"/>
      <c r="W15" s="466"/>
      <c r="X15" s="466"/>
      <c r="Y15" s="466"/>
      <c r="Z15" s="466"/>
      <c r="AA15" s="466"/>
      <c r="AB15" s="466"/>
      <c r="AC15" s="466"/>
      <c r="AD15" s="466"/>
      <c r="AE15" s="466"/>
      <c r="AF15" s="466"/>
      <c r="AG15" s="471"/>
      <c r="AH15" s="471"/>
      <c r="AI15" s="471"/>
      <c r="AJ15" s="471"/>
      <c r="AK15" s="471"/>
      <c r="AL15" s="471"/>
      <c r="AM15" s="471"/>
      <c r="AN15" s="471"/>
      <c r="AO15" s="471"/>
      <c r="AP15" s="471"/>
      <c r="AQ15" s="471"/>
      <c r="AR15" s="471"/>
      <c r="AS15" s="471"/>
      <c r="AT15" s="471"/>
      <c r="AU15" s="471"/>
      <c r="AV15" s="471"/>
      <c r="AW15" s="471"/>
      <c r="AX15" s="472"/>
    </row>
    <row r="16" spans="2:50" ht="11.25" customHeight="1" thickTop="1" thickBot="1">
      <c r="B16" s="461"/>
      <c r="C16" s="461"/>
      <c r="D16" s="461"/>
      <c r="E16" s="461"/>
      <c r="F16" s="461"/>
      <c r="G16" s="461"/>
      <c r="H16" s="461"/>
      <c r="I16" s="461"/>
      <c r="J16" s="461"/>
      <c r="K16" s="461"/>
      <c r="L16" s="461"/>
      <c r="M16" s="461"/>
      <c r="N16" s="465"/>
      <c r="O16" s="466"/>
      <c r="P16" s="466"/>
      <c r="Q16" s="466"/>
      <c r="R16" s="466"/>
      <c r="S16" s="466"/>
      <c r="T16" s="466"/>
      <c r="U16" s="466"/>
      <c r="V16" s="466"/>
      <c r="W16" s="466"/>
      <c r="X16" s="466"/>
      <c r="Y16" s="466"/>
      <c r="Z16" s="466"/>
      <c r="AA16" s="466"/>
      <c r="AB16" s="466"/>
      <c r="AC16" s="466"/>
      <c r="AD16" s="466"/>
      <c r="AE16" s="466"/>
      <c r="AF16" s="466"/>
      <c r="AG16" s="471"/>
      <c r="AH16" s="471"/>
      <c r="AI16" s="471"/>
      <c r="AJ16" s="471"/>
      <c r="AK16" s="471"/>
      <c r="AL16" s="471"/>
      <c r="AM16" s="471"/>
      <c r="AN16" s="471"/>
      <c r="AO16" s="471"/>
      <c r="AP16" s="471"/>
      <c r="AQ16" s="471"/>
      <c r="AR16" s="471"/>
      <c r="AS16" s="471"/>
      <c r="AT16" s="471"/>
      <c r="AU16" s="471"/>
      <c r="AV16" s="471"/>
      <c r="AW16" s="471"/>
      <c r="AX16" s="472"/>
    </row>
    <row r="17" spans="2:50" ht="11.25" customHeight="1" thickTop="1" thickBot="1">
      <c r="B17" s="461"/>
      <c r="C17" s="461"/>
      <c r="D17" s="461"/>
      <c r="E17" s="461"/>
      <c r="F17" s="461"/>
      <c r="G17" s="461"/>
      <c r="H17" s="461"/>
      <c r="I17" s="461"/>
      <c r="J17" s="461"/>
      <c r="K17" s="461"/>
      <c r="L17" s="461"/>
      <c r="M17" s="461"/>
      <c r="N17" s="467"/>
      <c r="O17" s="468"/>
      <c r="P17" s="468"/>
      <c r="Q17" s="468"/>
      <c r="R17" s="468"/>
      <c r="S17" s="468"/>
      <c r="T17" s="468"/>
      <c r="U17" s="468"/>
      <c r="V17" s="468"/>
      <c r="W17" s="468"/>
      <c r="X17" s="468"/>
      <c r="Y17" s="468"/>
      <c r="Z17" s="468"/>
      <c r="AA17" s="468"/>
      <c r="AB17" s="468"/>
      <c r="AC17" s="468"/>
      <c r="AD17" s="468"/>
      <c r="AE17" s="468"/>
      <c r="AF17" s="468"/>
      <c r="AG17" s="473"/>
      <c r="AH17" s="473"/>
      <c r="AI17" s="473"/>
      <c r="AJ17" s="473"/>
      <c r="AK17" s="473"/>
      <c r="AL17" s="473"/>
      <c r="AM17" s="473"/>
      <c r="AN17" s="473"/>
      <c r="AO17" s="473"/>
      <c r="AP17" s="473"/>
      <c r="AQ17" s="473"/>
      <c r="AR17" s="473"/>
      <c r="AS17" s="473"/>
      <c r="AT17" s="473"/>
      <c r="AU17" s="473"/>
      <c r="AV17" s="473"/>
      <c r="AW17" s="473"/>
      <c r="AX17" s="474"/>
    </row>
    <row r="18" spans="2:50" ht="11.25" customHeight="1" thickTop="1" thickBot="1">
      <c r="B18" s="461" t="s">
        <v>137</v>
      </c>
      <c r="C18" s="461"/>
      <c r="D18" s="461"/>
      <c r="E18" s="461"/>
      <c r="F18" s="461"/>
      <c r="G18" s="461"/>
      <c r="H18" s="461"/>
      <c r="I18" s="461"/>
      <c r="J18" s="461"/>
      <c r="K18" s="461"/>
      <c r="L18" s="461"/>
      <c r="M18" s="461"/>
      <c r="N18" s="458" t="s">
        <v>148</v>
      </c>
      <c r="O18" s="458"/>
      <c r="P18" s="458"/>
      <c r="Q18" s="458"/>
      <c r="R18" s="458"/>
      <c r="S18" s="458"/>
      <c r="T18" s="458"/>
      <c r="U18" s="458"/>
      <c r="V18" s="458"/>
      <c r="W18" s="458"/>
      <c r="X18" s="458"/>
      <c r="Y18" s="458"/>
      <c r="Z18" s="458"/>
      <c r="AA18" s="458"/>
      <c r="AB18" s="458"/>
      <c r="AC18" s="458"/>
      <c r="AD18" s="458"/>
      <c r="AE18" s="458"/>
      <c r="AF18" s="458"/>
      <c r="AG18" s="402" t="s">
        <v>149</v>
      </c>
      <c r="AH18" s="402"/>
      <c r="AI18" s="402"/>
      <c r="AJ18" s="402"/>
      <c r="AK18" s="402"/>
      <c r="AL18" s="402"/>
      <c r="AM18" s="402"/>
      <c r="AN18" s="402"/>
      <c r="AO18" s="402" t="s">
        <v>150</v>
      </c>
      <c r="AP18" s="402"/>
      <c r="AQ18" s="402"/>
      <c r="AR18" s="402"/>
      <c r="AS18" s="402"/>
      <c r="AT18" s="402"/>
      <c r="AU18" s="402"/>
      <c r="AV18" s="402"/>
      <c r="AW18" s="402"/>
      <c r="AX18" s="402"/>
    </row>
    <row r="19" spans="2:50" ht="11.25" customHeight="1" thickTop="1" thickBot="1">
      <c r="B19" s="461"/>
      <c r="C19" s="461"/>
      <c r="D19" s="461"/>
      <c r="E19" s="461"/>
      <c r="F19" s="461"/>
      <c r="G19" s="461"/>
      <c r="H19" s="461"/>
      <c r="I19" s="461"/>
      <c r="J19" s="461"/>
      <c r="K19" s="461"/>
      <c r="L19" s="461"/>
      <c r="M19" s="461"/>
      <c r="N19" s="458"/>
      <c r="O19" s="458"/>
      <c r="P19" s="458"/>
      <c r="Q19" s="458"/>
      <c r="R19" s="458"/>
      <c r="S19" s="458"/>
      <c r="T19" s="458"/>
      <c r="U19" s="458"/>
      <c r="V19" s="458"/>
      <c r="W19" s="458"/>
      <c r="X19" s="458"/>
      <c r="Y19" s="458"/>
      <c r="Z19" s="458"/>
      <c r="AA19" s="458"/>
      <c r="AB19" s="458"/>
      <c r="AC19" s="458"/>
      <c r="AD19" s="458"/>
      <c r="AE19" s="458"/>
      <c r="AF19" s="458"/>
      <c r="AG19" s="402"/>
      <c r="AH19" s="402"/>
      <c r="AI19" s="402"/>
      <c r="AJ19" s="402"/>
      <c r="AK19" s="402"/>
      <c r="AL19" s="402"/>
      <c r="AM19" s="402"/>
      <c r="AN19" s="402"/>
      <c r="AO19" s="402"/>
      <c r="AP19" s="402"/>
      <c r="AQ19" s="402"/>
      <c r="AR19" s="402"/>
      <c r="AS19" s="402"/>
      <c r="AT19" s="402"/>
      <c r="AU19" s="402"/>
      <c r="AV19" s="402"/>
      <c r="AW19" s="402"/>
      <c r="AX19" s="402"/>
    </row>
    <row r="20" spans="2:50" ht="11.25" customHeight="1" thickTop="1" thickBot="1">
      <c r="B20" s="461"/>
      <c r="C20" s="461"/>
      <c r="D20" s="461"/>
      <c r="E20" s="461"/>
      <c r="F20" s="461"/>
      <c r="G20" s="461"/>
      <c r="H20" s="461"/>
      <c r="I20" s="461"/>
      <c r="J20" s="461"/>
      <c r="K20" s="461"/>
      <c r="L20" s="461"/>
      <c r="M20" s="461"/>
      <c r="N20" s="458"/>
      <c r="O20" s="458"/>
      <c r="P20" s="458"/>
      <c r="Q20" s="458"/>
      <c r="R20" s="458"/>
      <c r="S20" s="458"/>
      <c r="T20" s="458"/>
      <c r="U20" s="458"/>
      <c r="V20" s="458"/>
      <c r="W20" s="458"/>
      <c r="X20" s="458"/>
      <c r="Y20" s="458"/>
      <c r="Z20" s="458"/>
      <c r="AA20" s="458"/>
      <c r="AB20" s="458"/>
      <c r="AC20" s="458"/>
      <c r="AD20" s="458"/>
      <c r="AE20" s="458"/>
      <c r="AF20" s="458"/>
      <c r="AG20" s="402"/>
      <c r="AH20" s="402"/>
      <c r="AI20" s="402"/>
      <c r="AJ20" s="402"/>
      <c r="AK20" s="402"/>
      <c r="AL20" s="402"/>
      <c r="AM20" s="402"/>
      <c r="AN20" s="402"/>
      <c r="AO20" s="402"/>
      <c r="AP20" s="402"/>
      <c r="AQ20" s="402"/>
      <c r="AR20" s="402"/>
      <c r="AS20" s="402"/>
      <c r="AT20" s="402"/>
      <c r="AU20" s="402"/>
      <c r="AV20" s="402"/>
      <c r="AW20" s="402"/>
      <c r="AX20" s="402"/>
    </row>
    <row r="21" spans="2:50" ht="11.25" customHeight="1" thickTop="1" thickBot="1">
      <c r="B21" s="461"/>
      <c r="C21" s="461"/>
      <c r="D21" s="461"/>
      <c r="E21" s="461"/>
      <c r="F21" s="461"/>
      <c r="G21" s="461"/>
      <c r="H21" s="461"/>
      <c r="I21" s="461"/>
      <c r="J21" s="461"/>
      <c r="K21" s="461"/>
      <c r="L21" s="461"/>
      <c r="M21" s="461"/>
      <c r="N21" s="459" t="s">
        <v>143</v>
      </c>
      <c r="O21" s="459"/>
      <c r="P21" s="459"/>
      <c r="Q21" s="459"/>
      <c r="R21" s="459"/>
      <c r="S21" s="459"/>
      <c r="T21" s="459"/>
      <c r="U21" s="459"/>
      <c r="V21" s="459"/>
      <c r="W21" s="459"/>
      <c r="X21" s="459"/>
      <c r="Y21" s="459"/>
      <c r="Z21" s="459"/>
      <c r="AA21" s="459"/>
      <c r="AB21" s="459"/>
      <c r="AC21" s="459"/>
      <c r="AD21" s="459"/>
      <c r="AE21" s="459"/>
      <c r="AF21" s="459"/>
      <c r="AG21" s="457">
        <v>0.2</v>
      </c>
      <c r="AH21" s="457"/>
      <c r="AI21" s="457"/>
      <c r="AJ21" s="457"/>
      <c r="AK21" s="457"/>
      <c r="AL21" s="457"/>
      <c r="AM21" s="457"/>
      <c r="AN21" s="457"/>
      <c r="AO21" s="458">
        <f>$N$13*AG21</f>
        <v>1517.6000000000001</v>
      </c>
      <c r="AP21" s="458"/>
      <c r="AQ21" s="458"/>
      <c r="AR21" s="458"/>
      <c r="AS21" s="458"/>
      <c r="AT21" s="458"/>
      <c r="AU21" s="458"/>
      <c r="AV21" s="402" t="s">
        <v>4</v>
      </c>
      <c r="AW21" s="402"/>
      <c r="AX21" s="402"/>
    </row>
    <row r="22" spans="2:50" ht="11.25" customHeight="1" thickTop="1" thickBot="1">
      <c r="B22" s="461"/>
      <c r="C22" s="461"/>
      <c r="D22" s="461"/>
      <c r="E22" s="461"/>
      <c r="F22" s="461"/>
      <c r="G22" s="461"/>
      <c r="H22" s="461"/>
      <c r="I22" s="461"/>
      <c r="J22" s="461"/>
      <c r="K22" s="461"/>
      <c r="L22" s="461"/>
      <c r="M22" s="461"/>
      <c r="N22" s="459"/>
      <c r="O22" s="459"/>
      <c r="P22" s="459"/>
      <c r="Q22" s="459"/>
      <c r="R22" s="459"/>
      <c r="S22" s="459"/>
      <c r="T22" s="459"/>
      <c r="U22" s="459"/>
      <c r="V22" s="459"/>
      <c r="W22" s="459"/>
      <c r="X22" s="459"/>
      <c r="Y22" s="459"/>
      <c r="Z22" s="459"/>
      <c r="AA22" s="459"/>
      <c r="AB22" s="459"/>
      <c r="AC22" s="459"/>
      <c r="AD22" s="459"/>
      <c r="AE22" s="459"/>
      <c r="AF22" s="459"/>
      <c r="AG22" s="457"/>
      <c r="AH22" s="457"/>
      <c r="AI22" s="457"/>
      <c r="AJ22" s="457"/>
      <c r="AK22" s="457"/>
      <c r="AL22" s="457"/>
      <c r="AM22" s="457"/>
      <c r="AN22" s="457"/>
      <c r="AO22" s="458"/>
      <c r="AP22" s="458"/>
      <c r="AQ22" s="458"/>
      <c r="AR22" s="458"/>
      <c r="AS22" s="458"/>
      <c r="AT22" s="458"/>
      <c r="AU22" s="458"/>
      <c r="AV22" s="402"/>
      <c r="AW22" s="402"/>
      <c r="AX22" s="402"/>
    </row>
    <row r="23" spans="2:50" ht="11.25" customHeight="1" thickTop="1" thickBot="1">
      <c r="B23" s="461"/>
      <c r="C23" s="461"/>
      <c r="D23" s="461"/>
      <c r="E23" s="461"/>
      <c r="F23" s="461"/>
      <c r="G23" s="461"/>
      <c r="H23" s="461"/>
      <c r="I23" s="461"/>
      <c r="J23" s="461"/>
      <c r="K23" s="461"/>
      <c r="L23" s="461"/>
      <c r="M23" s="461"/>
      <c r="N23" s="459"/>
      <c r="O23" s="459"/>
      <c r="P23" s="459"/>
      <c r="Q23" s="459"/>
      <c r="R23" s="459"/>
      <c r="S23" s="459"/>
      <c r="T23" s="459"/>
      <c r="U23" s="459"/>
      <c r="V23" s="459"/>
      <c r="W23" s="459"/>
      <c r="X23" s="459"/>
      <c r="Y23" s="459"/>
      <c r="Z23" s="459"/>
      <c r="AA23" s="459"/>
      <c r="AB23" s="459"/>
      <c r="AC23" s="459"/>
      <c r="AD23" s="459"/>
      <c r="AE23" s="459"/>
      <c r="AF23" s="459"/>
      <c r="AG23" s="457"/>
      <c r="AH23" s="457"/>
      <c r="AI23" s="457"/>
      <c r="AJ23" s="457"/>
      <c r="AK23" s="457"/>
      <c r="AL23" s="457"/>
      <c r="AM23" s="457"/>
      <c r="AN23" s="457"/>
      <c r="AO23" s="458"/>
      <c r="AP23" s="458"/>
      <c r="AQ23" s="458"/>
      <c r="AR23" s="458"/>
      <c r="AS23" s="458"/>
      <c r="AT23" s="458"/>
      <c r="AU23" s="458"/>
      <c r="AV23" s="402"/>
      <c r="AW23" s="402"/>
      <c r="AX23" s="402"/>
    </row>
    <row r="24" spans="2:50" ht="11.25" customHeight="1" thickTop="1" thickBot="1">
      <c r="B24" s="461"/>
      <c r="C24" s="461"/>
      <c r="D24" s="461"/>
      <c r="E24" s="461"/>
      <c r="F24" s="461"/>
      <c r="G24" s="461"/>
      <c r="H24" s="461"/>
      <c r="I24" s="461"/>
      <c r="J24" s="461"/>
      <c r="K24" s="461"/>
      <c r="L24" s="461"/>
      <c r="M24" s="461"/>
      <c r="N24" s="459" t="s">
        <v>144</v>
      </c>
      <c r="O24" s="459"/>
      <c r="P24" s="459"/>
      <c r="Q24" s="459"/>
      <c r="R24" s="459"/>
      <c r="S24" s="459"/>
      <c r="T24" s="459"/>
      <c r="U24" s="459"/>
      <c r="V24" s="459"/>
      <c r="W24" s="459"/>
      <c r="X24" s="459"/>
      <c r="Y24" s="459"/>
      <c r="Z24" s="459"/>
      <c r="AA24" s="459"/>
      <c r="AB24" s="459"/>
      <c r="AC24" s="459"/>
      <c r="AD24" s="459"/>
      <c r="AE24" s="459"/>
      <c r="AF24" s="459"/>
      <c r="AG24" s="457">
        <v>0.1</v>
      </c>
      <c r="AH24" s="457"/>
      <c r="AI24" s="457"/>
      <c r="AJ24" s="457"/>
      <c r="AK24" s="457"/>
      <c r="AL24" s="457"/>
      <c r="AM24" s="457"/>
      <c r="AN24" s="457"/>
      <c r="AO24" s="458">
        <f>$N$13*AG24</f>
        <v>758.80000000000007</v>
      </c>
      <c r="AP24" s="458"/>
      <c r="AQ24" s="458"/>
      <c r="AR24" s="458"/>
      <c r="AS24" s="458"/>
      <c r="AT24" s="458"/>
      <c r="AU24" s="458"/>
      <c r="AV24" s="402" t="s">
        <v>4</v>
      </c>
      <c r="AW24" s="402"/>
      <c r="AX24" s="402"/>
    </row>
    <row r="25" spans="2:50" ht="11.25" customHeight="1" thickTop="1" thickBot="1">
      <c r="B25" s="461"/>
      <c r="C25" s="461"/>
      <c r="D25" s="461"/>
      <c r="E25" s="461"/>
      <c r="F25" s="461"/>
      <c r="G25" s="461"/>
      <c r="H25" s="461"/>
      <c r="I25" s="461"/>
      <c r="J25" s="461"/>
      <c r="K25" s="461"/>
      <c r="L25" s="461"/>
      <c r="M25" s="461"/>
      <c r="N25" s="459"/>
      <c r="O25" s="459"/>
      <c r="P25" s="459"/>
      <c r="Q25" s="459"/>
      <c r="R25" s="459"/>
      <c r="S25" s="459"/>
      <c r="T25" s="459"/>
      <c r="U25" s="459"/>
      <c r="V25" s="459"/>
      <c r="W25" s="459"/>
      <c r="X25" s="459"/>
      <c r="Y25" s="459"/>
      <c r="Z25" s="459"/>
      <c r="AA25" s="459"/>
      <c r="AB25" s="459"/>
      <c r="AC25" s="459"/>
      <c r="AD25" s="459"/>
      <c r="AE25" s="459"/>
      <c r="AF25" s="459"/>
      <c r="AG25" s="457"/>
      <c r="AH25" s="457"/>
      <c r="AI25" s="457"/>
      <c r="AJ25" s="457"/>
      <c r="AK25" s="457"/>
      <c r="AL25" s="457"/>
      <c r="AM25" s="457"/>
      <c r="AN25" s="457"/>
      <c r="AO25" s="458"/>
      <c r="AP25" s="458"/>
      <c r="AQ25" s="458"/>
      <c r="AR25" s="458"/>
      <c r="AS25" s="458"/>
      <c r="AT25" s="458"/>
      <c r="AU25" s="458"/>
      <c r="AV25" s="402"/>
      <c r="AW25" s="402"/>
      <c r="AX25" s="402"/>
    </row>
    <row r="26" spans="2:50" ht="11.25" customHeight="1" thickTop="1" thickBot="1">
      <c r="B26" s="461"/>
      <c r="C26" s="461"/>
      <c r="D26" s="461"/>
      <c r="E26" s="461"/>
      <c r="F26" s="461"/>
      <c r="G26" s="461"/>
      <c r="H26" s="461"/>
      <c r="I26" s="461"/>
      <c r="J26" s="461"/>
      <c r="K26" s="461"/>
      <c r="L26" s="461"/>
      <c r="M26" s="461"/>
      <c r="N26" s="459"/>
      <c r="O26" s="459"/>
      <c r="P26" s="459"/>
      <c r="Q26" s="459"/>
      <c r="R26" s="459"/>
      <c r="S26" s="459"/>
      <c r="T26" s="459"/>
      <c r="U26" s="459"/>
      <c r="V26" s="459"/>
      <c r="W26" s="459"/>
      <c r="X26" s="459"/>
      <c r="Y26" s="459"/>
      <c r="Z26" s="459"/>
      <c r="AA26" s="459"/>
      <c r="AB26" s="459"/>
      <c r="AC26" s="459"/>
      <c r="AD26" s="459"/>
      <c r="AE26" s="459"/>
      <c r="AF26" s="459"/>
      <c r="AG26" s="457"/>
      <c r="AH26" s="457"/>
      <c r="AI26" s="457"/>
      <c r="AJ26" s="457"/>
      <c r="AK26" s="457"/>
      <c r="AL26" s="457"/>
      <c r="AM26" s="457"/>
      <c r="AN26" s="457"/>
      <c r="AO26" s="458"/>
      <c r="AP26" s="458"/>
      <c r="AQ26" s="458"/>
      <c r="AR26" s="458"/>
      <c r="AS26" s="458"/>
      <c r="AT26" s="458"/>
      <c r="AU26" s="458"/>
      <c r="AV26" s="402"/>
      <c r="AW26" s="402"/>
      <c r="AX26" s="402"/>
    </row>
    <row r="27" spans="2:50" ht="11.25" customHeight="1" thickTop="1" thickBot="1">
      <c r="B27" s="461"/>
      <c r="C27" s="461"/>
      <c r="D27" s="461"/>
      <c r="E27" s="461"/>
      <c r="F27" s="461"/>
      <c r="G27" s="461"/>
      <c r="H27" s="461"/>
      <c r="I27" s="461"/>
      <c r="J27" s="461"/>
      <c r="K27" s="461"/>
      <c r="L27" s="461"/>
      <c r="M27" s="461"/>
      <c r="N27" s="459" t="s">
        <v>151</v>
      </c>
      <c r="O27" s="459"/>
      <c r="P27" s="459"/>
      <c r="Q27" s="459"/>
      <c r="R27" s="459"/>
      <c r="S27" s="459"/>
      <c r="T27" s="459"/>
      <c r="U27" s="459"/>
      <c r="V27" s="459"/>
      <c r="W27" s="459"/>
      <c r="X27" s="459"/>
      <c r="Y27" s="459"/>
      <c r="Z27" s="459"/>
      <c r="AA27" s="459"/>
      <c r="AB27" s="459"/>
      <c r="AC27" s="459"/>
      <c r="AD27" s="459"/>
      <c r="AE27" s="459"/>
      <c r="AF27" s="459"/>
      <c r="AG27" s="457">
        <v>0.2</v>
      </c>
      <c r="AH27" s="457"/>
      <c r="AI27" s="457"/>
      <c r="AJ27" s="457"/>
      <c r="AK27" s="457"/>
      <c r="AL27" s="457"/>
      <c r="AM27" s="457"/>
      <c r="AN27" s="457"/>
      <c r="AO27" s="458">
        <f>$N$13*AG27</f>
        <v>1517.6000000000001</v>
      </c>
      <c r="AP27" s="458"/>
      <c r="AQ27" s="458"/>
      <c r="AR27" s="458"/>
      <c r="AS27" s="458"/>
      <c r="AT27" s="458"/>
      <c r="AU27" s="458"/>
      <c r="AV27" s="402" t="s">
        <v>4</v>
      </c>
      <c r="AW27" s="402"/>
      <c r="AX27" s="402"/>
    </row>
    <row r="28" spans="2:50" ht="11.25" customHeight="1" thickTop="1" thickBot="1">
      <c r="B28" s="461"/>
      <c r="C28" s="461"/>
      <c r="D28" s="461"/>
      <c r="E28" s="461"/>
      <c r="F28" s="461"/>
      <c r="G28" s="461"/>
      <c r="H28" s="461"/>
      <c r="I28" s="461"/>
      <c r="J28" s="461"/>
      <c r="K28" s="461"/>
      <c r="L28" s="461"/>
      <c r="M28" s="461"/>
      <c r="N28" s="459"/>
      <c r="O28" s="459"/>
      <c r="P28" s="459"/>
      <c r="Q28" s="459"/>
      <c r="R28" s="459"/>
      <c r="S28" s="459"/>
      <c r="T28" s="459"/>
      <c r="U28" s="459"/>
      <c r="V28" s="459"/>
      <c r="W28" s="459"/>
      <c r="X28" s="459"/>
      <c r="Y28" s="459"/>
      <c r="Z28" s="459"/>
      <c r="AA28" s="459"/>
      <c r="AB28" s="459"/>
      <c r="AC28" s="459"/>
      <c r="AD28" s="459"/>
      <c r="AE28" s="459"/>
      <c r="AF28" s="459"/>
      <c r="AG28" s="457"/>
      <c r="AH28" s="457"/>
      <c r="AI28" s="457"/>
      <c r="AJ28" s="457"/>
      <c r="AK28" s="457"/>
      <c r="AL28" s="457"/>
      <c r="AM28" s="457"/>
      <c r="AN28" s="457"/>
      <c r="AO28" s="458"/>
      <c r="AP28" s="458"/>
      <c r="AQ28" s="458"/>
      <c r="AR28" s="458"/>
      <c r="AS28" s="458"/>
      <c r="AT28" s="458"/>
      <c r="AU28" s="458"/>
      <c r="AV28" s="402"/>
      <c r="AW28" s="402"/>
      <c r="AX28" s="402"/>
    </row>
    <row r="29" spans="2:50" ht="11.25" customHeight="1" thickTop="1" thickBot="1">
      <c r="B29" s="461"/>
      <c r="C29" s="461"/>
      <c r="D29" s="461"/>
      <c r="E29" s="461"/>
      <c r="F29" s="461"/>
      <c r="G29" s="461"/>
      <c r="H29" s="461"/>
      <c r="I29" s="461"/>
      <c r="J29" s="461"/>
      <c r="K29" s="461"/>
      <c r="L29" s="461"/>
      <c r="M29" s="461"/>
      <c r="N29" s="459"/>
      <c r="O29" s="459"/>
      <c r="P29" s="459"/>
      <c r="Q29" s="459"/>
      <c r="R29" s="459"/>
      <c r="S29" s="459"/>
      <c r="T29" s="459"/>
      <c r="U29" s="459"/>
      <c r="V29" s="459"/>
      <c r="W29" s="459"/>
      <c r="X29" s="459"/>
      <c r="Y29" s="459"/>
      <c r="Z29" s="459"/>
      <c r="AA29" s="459"/>
      <c r="AB29" s="459"/>
      <c r="AC29" s="459"/>
      <c r="AD29" s="459"/>
      <c r="AE29" s="459"/>
      <c r="AF29" s="459"/>
      <c r="AG29" s="457"/>
      <c r="AH29" s="457"/>
      <c r="AI29" s="457"/>
      <c r="AJ29" s="457"/>
      <c r="AK29" s="457"/>
      <c r="AL29" s="457"/>
      <c r="AM29" s="457"/>
      <c r="AN29" s="457"/>
      <c r="AO29" s="458"/>
      <c r="AP29" s="458"/>
      <c r="AQ29" s="458"/>
      <c r="AR29" s="458"/>
      <c r="AS29" s="458"/>
      <c r="AT29" s="458"/>
      <c r="AU29" s="458"/>
      <c r="AV29" s="402"/>
      <c r="AW29" s="402"/>
      <c r="AX29" s="402"/>
    </row>
    <row r="30" spans="2:50" ht="11.25" customHeight="1" thickTop="1" thickBot="1">
      <c r="B30" s="461"/>
      <c r="C30" s="461"/>
      <c r="D30" s="461"/>
      <c r="E30" s="461"/>
      <c r="F30" s="461"/>
      <c r="G30" s="461"/>
      <c r="H30" s="461"/>
      <c r="I30" s="461"/>
      <c r="J30" s="461"/>
      <c r="K30" s="461"/>
      <c r="L30" s="461"/>
      <c r="M30" s="461"/>
      <c r="N30" s="319" t="s">
        <v>157</v>
      </c>
      <c r="O30" s="320"/>
      <c r="P30" s="320"/>
      <c r="Q30" s="320"/>
      <c r="R30" s="320"/>
      <c r="S30" s="320"/>
      <c r="T30" s="320"/>
      <c r="U30" s="320"/>
      <c r="V30" s="320"/>
      <c r="W30" s="320"/>
      <c r="X30" s="320"/>
      <c r="Y30" s="320"/>
      <c r="Z30" s="475" t="s">
        <v>158</v>
      </c>
      <c r="AA30" s="475"/>
      <c r="AB30" s="475"/>
      <c r="AC30" s="475"/>
      <c r="AD30" s="475"/>
      <c r="AE30" s="475"/>
      <c r="AF30" s="476"/>
      <c r="AG30" s="457">
        <v>0.5</v>
      </c>
      <c r="AH30" s="457"/>
      <c r="AI30" s="457"/>
      <c r="AJ30" s="457"/>
      <c r="AK30" s="457"/>
      <c r="AL30" s="457"/>
      <c r="AM30" s="457"/>
      <c r="AN30" s="457"/>
      <c r="AO30" s="458">
        <f>$N$13*AG30</f>
        <v>3794</v>
      </c>
      <c r="AP30" s="458"/>
      <c r="AQ30" s="458"/>
      <c r="AR30" s="458"/>
      <c r="AS30" s="458"/>
      <c r="AT30" s="458"/>
      <c r="AU30" s="458"/>
      <c r="AV30" s="402" t="s">
        <v>4</v>
      </c>
      <c r="AW30" s="402"/>
      <c r="AX30" s="402"/>
    </row>
    <row r="31" spans="2:50" ht="11.25" customHeight="1" thickTop="1" thickBot="1">
      <c r="B31" s="461"/>
      <c r="C31" s="461"/>
      <c r="D31" s="461"/>
      <c r="E31" s="461"/>
      <c r="F31" s="461"/>
      <c r="G31" s="461"/>
      <c r="H31" s="461"/>
      <c r="I31" s="461"/>
      <c r="J31" s="461"/>
      <c r="K31" s="461"/>
      <c r="L31" s="461"/>
      <c r="M31" s="461"/>
      <c r="N31" s="322"/>
      <c r="O31" s="323"/>
      <c r="P31" s="323"/>
      <c r="Q31" s="323"/>
      <c r="R31" s="323"/>
      <c r="S31" s="323"/>
      <c r="T31" s="323"/>
      <c r="U31" s="323"/>
      <c r="V31" s="323"/>
      <c r="W31" s="323"/>
      <c r="X31" s="323"/>
      <c r="Y31" s="323"/>
      <c r="Z31" s="477"/>
      <c r="AA31" s="477"/>
      <c r="AB31" s="477"/>
      <c r="AC31" s="477"/>
      <c r="AD31" s="477"/>
      <c r="AE31" s="477"/>
      <c r="AF31" s="478"/>
      <c r="AG31" s="457"/>
      <c r="AH31" s="457"/>
      <c r="AI31" s="457"/>
      <c r="AJ31" s="457"/>
      <c r="AK31" s="457"/>
      <c r="AL31" s="457"/>
      <c r="AM31" s="457"/>
      <c r="AN31" s="457"/>
      <c r="AO31" s="458"/>
      <c r="AP31" s="458"/>
      <c r="AQ31" s="458"/>
      <c r="AR31" s="458"/>
      <c r="AS31" s="458"/>
      <c r="AT31" s="458"/>
      <c r="AU31" s="458"/>
      <c r="AV31" s="402"/>
      <c r="AW31" s="402"/>
      <c r="AX31" s="402"/>
    </row>
    <row r="32" spans="2:50" ht="11.25" customHeight="1" thickTop="1" thickBot="1">
      <c r="B32" s="461"/>
      <c r="C32" s="461"/>
      <c r="D32" s="461"/>
      <c r="E32" s="461"/>
      <c r="F32" s="461"/>
      <c r="G32" s="461"/>
      <c r="H32" s="461"/>
      <c r="I32" s="461"/>
      <c r="J32" s="461"/>
      <c r="K32" s="461"/>
      <c r="L32" s="461"/>
      <c r="M32" s="461"/>
      <c r="N32" s="325"/>
      <c r="O32" s="326"/>
      <c r="P32" s="326"/>
      <c r="Q32" s="326"/>
      <c r="R32" s="326"/>
      <c r="S32" s="326"/>
      <c r="T32" s="326"/>
      <c r="U32" s="326"/>
      <c r="V32" s="326"/>
      <c r="W32" s="326"/>
      <c r="X32" s="326"/>
      <c r="Y32" s="326"/>
      <c r="Z32" s="479"/>
      <c r="AA32" s="479"/>
      <c r="AB32" s="479"/>
      <c r="AC32" s="479"/>
      <c r="AD32" s="479"/>
      <c r="AE32" s="479"/>
      <c r="AF32" s="480"/>
      <c r="AG32" s="457"/>
      <c r="AH32" s="457"/>
      <c r="AI32" s="457"/>
      <c r="AJ32" s="457"/>
      <c r="AK32" s="457"/>
      <c r="AL32" s="457"/>
      <c r="AM32" s="457"/>
      <c r="AN32" s="457"/>
      <c r="AO32" s="458"/>
      <c r="AP32" s="458"/>
      <c r="AQ32" s="458"/>
      <c r="AR32" s="458"/>
      <c r="AS32" s="458"/>
      <c r="AT32" s="458"/>
      <c r="AU32" s="458"/>
      <c r="AV32" s="402"/>
      <c r="AW32" s="402"/>
      <c r="AX32" s="402"/>
    </row>
    <row r="33" spans="2:50" ht="11.25" customHeight="1" thickTop="1" thickBot="1">
      <c r="B33" s="481" t="s">
        <v>142</v>
      </c>
      <c r="C33" s="481"/>
      <c r="D33" s="481"/>
      <c r="E33" s="481"/>
      <c r="F33" s="481"/>
      <c r="G33" s="481"/>
      <c r="H33" s="481"/>
      <c r="I33" s="481"/>
      <c r="J33" s="481"/>
      <c r="K33" s="481"/>
      <c r="L33" s="481"/>
      <c r="M33" s="481"/>
      <c r="N33" s="402" t="s">
        <v>113</v>
      </c>
      <c r="O33" s="402"/>
      <c r="P33" s="402"/>
      <c r="Q33" s="402"/>
      <c r="R33" s="402"/>
      <c r="S33" s="402"/>
      <c r="T33" s="402"/>
      <c r="U33" s="402"/>
      <c r="V33" s="402"/>
      <c r="W33" s="402"/>
      <c r="X33" s="402"/>
      <c r="Y33" s="402"/>
      <c r="Z33" s="402"/>
      <c r="AA33" s="402"/>
      <c r="AB33" s="402"/>
      <c r="AC33" s="402"/>
      <c r="AD33" s="402"/>
      <c r="AE33" s="402"/>
      <c r="AF33" s="402"/>
      <c r="AG33" s="402" t="s">
        <v>114</v>
      </c>
      <c r="AH33" s="402"/>
      <c r="AI33" s="402"/>
      <c r="AJ33" s="402"/>
      <c r="AK33" s="402"/>
      <c r="AL33" s="402"/>
      <c r="AM33" s="402"/>
      <c r="AN33" s="402"/>
      <c r="AO33" s="402"/>
      <c r="AP33" s="402"/>
      <c r="AQ33" s="402"/>
      <c r="AR33" s="402"/>
      <c r="AS33" s="402"/>
      <c r="AT33" s="402"/>
      <c r="AU33" s="402"/>
      <c r="AV33" s="402"/>
      <c r="AW33" s="402"/>
      <c r="AX33" s="402"/>
    </row>
    <row r="34" spans="2:50" ht="11.25" customHeight="1" thickTop="1" thickBot="1">
      <c r="B34" s="481"/>
      <c r="C34" s="481"/>
      <c r="D34" s="481"/>
      <c r="E34" s="481"/>
      <c r="F34" s="481"/>
      <c r="G34" s="481"/>
      <c r="H34" s="481"/>
      <c r="I34" s="481"/>
      <c r="J34" s="481"/>
      <c r="K34" s="481"/>
      <c r="L34" s="481"/>
      <c r="M34" s="481"/>
      <c r="N34" s="402"/>
      <c r="O34" s="402"/>
      <c r="P34" s="402"/>
      <c r="Q34" s="402"/>
      <c r="R34" s="402"/>
      <c r="S34" s="402"/>
      <c r="T34" s="402"/>
      <c r="U34" s="402"/>
      <c r="V34" s="402"/>
      <c r="W34" s="402"/>
      <c r="X34" s="402"/>
      <c r="Y34" s="402"/>
      <c r="Z34" s="402"/>
      <c r="AA34" s="402"/>
      <c r="AB34" s="402"/>
      <c r="AC34" s="402"/>
      <c r="AD34" s="402"/>
      <c r="AE34" s="402"/>
      <c r="AF34" s="402"/>
      <c r="AG34" s="402"/>
      <c r="AH34" s="402"/>
      <c r="AI34" s="402"/>
      <c r="AJ34" s="402"/>
      <c r="AK34" s="402"/>
      <c r="AL34" s="402"/>
      <c r="AM34" s="402"/>
      <c r="AN34" s="402"/>
      <c r="AO34" s="402"/>
      <c r="AP34" s="402"/>
      <c r="AQ34" s="402"/>
      <c r="AR34" s="402"/>
      <c r="AS34" s="402"/>
      <c r="AT34" s="402"/>
      <c r="AU34" s="402"/>
      <c r="AV34" s="402"/>
      <c r="AW34" s="402"/>
      <c r="AX34" s="402"/>
    </row>
    <row r="35" spans="2:50" ht="11.25" customHeight="1" thickTop="1" thickBot="1">
      <c r="B35" s="481"/>
      <c r="C35" s="481"/>
      <c r="D35" s="481"/>
      <c r="E35" s="481"/>
      <c r="F35" s="481"/>
      <c r="G35" s="481"/>
      <c r="H35" s="481"/>
      <c r="I35" s="481"/>
      <c r="J35" s="481"/>
      <c r="K35" s="481"/>
      <c r="L35" s="481"/>
      <c r="M35" s="481"/>
      <c r="N35" s="402"/>
      <c r="O35" s="402"/>
      <c r="P35" s="402"/>
      <c r="Q35" s="402"/>
      <c r="R35" s="402"/>
      <c r="S35" s="402"/>
      <c r="T35" s="402"/>
      <c r="U35" s="402"/>
      <c r="V35" s="402"/>
      <c r="W35" s="402"/>
      <c r="X35" s="402"/>
      <c r="Y35" s="402"/>
      <c r="Z35" s="402"/>
      <c r="AA35" s="402"/>
      <c r="AB35" s="402"/>
      <c r="AC35" s="402"/>
      <c r="AD35" s="402"/>
      <c r="AE35" s="402"/>
      <c r="AF35" s="402"/>
      <c r="AG35" s="402"/>
      <c r="AH35" s="402"/>
      <c r="AI35" s="402"/>
      <c r="AJ35" s="402"/>
      <c r="AK35" s="402"/>
      <c r="AL35" s="402"/>
      <c r="AM35" s="402"/>
      <c r="AN35" s="402"/>
      <c r="AO35" s="402"/>
      <c r="AP35" s="402"/>
      <c r="AQ35" s="402"/>
      <c r="AR35" s="402"/>
      <c r="AS35" s="402"/>
      <c r="AT35" s="402"/>
      <c r="AU35" s="402"/>
      <c r="AV35" s="402"/>
      <c r="AW35" s="402"/>
      <c r="AX35" s="402"/>
    </row>
    <row r="36" spans="2:50" ht="11.25" customHeight="1" thickTop="1" thickBot="1">
      <c r="B36" s="481"/>
      <c r="C36" s="481"/>
      <c r="D36" s="481"/>
      <c r="E36" s="481"/>
      <c r="F36" s="481"/>
      <c r="G36" s="481"/>
      <c r="H36" s="481"/>
      <c r="I36" s="481"/>
      <c r="J36" s="481"/>
      <c r="K36" s="481"/>
      <c r="L36" s="481"/>
      <c r="M36" s="481"/>
      <c r="N36" s="402" t="s">
        <v>115</v>
      </c>
      <c r="O36" s="402"/>
      <c r="P36" s="402"/>
      <c r="Q36" s="402"/>
      <c r="R36" s="402"/>
      <c r="S36" s="402"/>
      <c r="T36" s="402"/>
      <c r="U36" s="402"/>
      <c r="V36" s="402" t="s">
        <v>116</v>
      </c>
      <c r="W36" s="402"/>
      <c r="X36" s="402"/>
      <c r="Y36" s="402"/>
      <c r="Z36" s="402"/>
      <c r="AA36" s="402"/>
      <c r="AB36" s="402"/>
      <c r="AC36" s="402"/>
      <c r="AD36" s="402" t="s">
        <v>117</v>
      </c>
      <c r="AE36" s="402"/>
      <c r="AF36" s="402"/>
      <c r="AG36" s="402" t="s">
        <v>118</v>
      </c>
      <c r="AH36" s="402"/>
      <c r="AI36" s="402"/>
      <c r="AJ36" s="402"/>
      <c r="AK36" s="402"/>
      <c r="AL36" s="402"/>
      <c r="AM36" s="402"/>
      <c r="AN36" s="402"/>
      <c r="AO36" s="402">
        <v>0</v>
      </c>
      <c r="AP36" s="402"/>
      <c r="AQ36" s="402"/>
      <c r="AR36" s="402"/>
      <c r="AS36" s="402"/>
      <c r="AT36" s="402"/>
      <c r="AU36" s="402"/>
      <c r="AV36" s="402" t="s">
        <v>117</v>
      </c>
      <c r="AW36" s="402"/>
      <c r="AX36" s="402"/>
    </row>
    <row r="37" spans="2:50" ht="11.25" customHeight="1" thickTop="1" thickBot="1">
      <c r="B37" s="481"/>
      <c r="C37" s="481"/>
      <c r="D37" s="481"/>
      <c r="E37" s="481"/>
      <c r="F37" s="481"/>
      <c r="G37" s="481"/>
      <c r="H37" s="481"/>
      <c r="I37" s="481"/>
      <c r="J37" s="481"/>
      <c r="K37" s="481"/>
      <c r="L37" s="481"/>
      <c r="M37" s="481"/>
      <c r="N37" s="402"/>
      <c r="O37" s="402"/>
      <c r="P37" s="402"/>
      <c r="Q37" s="402"/>
      <c r="R37" s="402"/>
      <c r="S37" s="402"/>
      <c r="T37" s="402"/>
      <c r="U37" s="402"/>
      <c r="V37" s="402"/>
      <c r="W37" s="402"/>
      <c r="X37" s="402"/>
      <c r="Y37" s="402"/>
      <c r="Z37" s="402"/>
      <c r="AA37" s="402"/>
      <c r="AB37" s="402"/>
      <c r="AC37" s="402"/>
      <c r="AD37" s="402"/>
      <c r="AE37" s="402"/>
      <c r="AF37" s="402"/>
      <c r="AG37" s="402"/>
      <c r="AH37" s="402"/>
      <c r="AI37" s="402"/>
      <c r="AJ37" s="402"/>
      <c r="AK37" s="402"/>
      <c r="AL37" s="402"/>
      <c r="AM37" s="402"/>
      <c r="AN37" s="402"/>
      <c r="AO37" s="402"/>
      <c r="AP37" s="402"/>
      <c r="AQ37" s="402"/>
      <c r="AR37" s="402"/>
      <c r="AS37" s="402"/>
      <c r="AT37" s="402"/>
      <c r="AU37" s="402"/>
      <c r="AV37" s="402"/>
      <c r="AW37" s="402"/>
      <c r="AX37" s="402"/>
    </row>
    <row r="38" spans="2:50" ht="11.25" customHeight="1" thickTop="1" thickBot="1">
      <c r="B38" s="481"/>
      <c r="C38" s="481"/>
      <c r="D38" s="481"/>
      <c r="E38" s="481"/>
      <c r="F38" s="481"/>
      <c r="G38" s="481"/>
      <c r="H38" s="481"/>
      <c r="I38" s="481"/>
      <c r="J38" s="481"/>
      <c r="K38" s="481"/>
      <c r="L38" s="481"/>
      <c r="M38" s="481"/>
      <c r="N38" s="402"/>
      <c r="O38" s="402"/>
      <c r="P38" s="402"/>
      <c r="Q38" s="402"/>
      <c r="R38" s="402"/>
      <c r="S38" s="402"/>
      <c r="T38" s="402"/>
      <c r="U38" s="402"/>
      <c r="V38" s="402"/>
      <c r="W38" s="402"/>
      <c r="X38" s="402"/>
      <c r="Y38" s="402"/>
      <c r="Z38" s="402"/>
      <c r="AA38" s="402"/>
      <c r="AB38" s="402"/>
      <c r="AC38" s="402"/>
      <c r="AD38" s="402"/>
      <c r="AE38" s="402"/>
      <c r="AF38" s="402"/>
      <c r="AG38" s="402"/>
      <c r="AH38" s="402"/>
      <c r="AI38" s="402"/>
      <c r="AJ38" s="402"/>
      <c r="AK38" s="402"/>
      <c r="AL38" s="402"/>
      <c r="AM38" s="402"/>
      <c r="AN38" s="402"/>
      <c r="AO38" s="402"/>
      <c r="AP38" s="402"/>
      <c r="AQ38" s="402"/>
      <c r="AR38" s="402"/>
      <c r="AS38" s="402"/>
      <c r="AT38" s="402"/>
      <c r="AU38" s="402"/>
      <c r="AV38" s="402"/>
      <c r="AW38" s="402"/>
      <c r="AX38" s="402"/>
    </row>
    <row r="39" spans="2:50" ht="11.25" customHeight="1" thickTop="1" thickBot="1">
      <c r="B39" s="481"/>
      <c r="C39" s="481"/>
      <c r="D39" s="481"/>
      <c r="E39" s="481"/>
      <c r="F39" s="481"/>
      <c r="G39" s="481"/>
      <c r="H39" s="481"/>
      <c r="I39" s="481"/>
      <c r="J39" s="481"/>
      <c r="K39" s="481"/>
      <c r="L39" s="481"/>
      <c r="M39" s="481"/>
      <c r="N39" s="402" t="s">
        <v>119</v>
      </c>
      <c r="O39" s="402"/>
      <c r="P39" s="402"/>
      <c r="Q39" s="402"/>
      <c r="R39" s="402"/>
      <c r="S39" s="402"/>
      <c r="T39" s="402"/>
      <c r="U39" s="402"/>
      <c r="V39" s="402" t="s">
        <v>116</v>
      </c>
      <c r="W39" s="402"/>
      <c r="X39" s="402"/>
      <c r="Y39" s="402"/>
      <c r="Z39" s="402"/>
      <c r="AA39" s="402"/>
      <c r="AB39" s="402"/>
      <c r="AC39" s="402"/>
      <c r="AD39" s="402" t="s">
        <v>117</v>
      </c>
      <c r="AE39" s="402"/>
      <c r="AF39" s="402"/>
      <c r="AG39" s="402" t="s">
        <v>120</v>
      </c>
      <c r="AH39" s="402"/>
      <c r="AI39" s="402"/>
      <c r="AJ39" s="402"/>
      <c r="AK39" s="402"/>
      <c r="AL39" s="402"/>
      <c r="AM39" s="402"/>
      <c r="AN39" s="402"/>
      <c r="AO39" s="402" t="s">
        <v>242</v>
      </c>
      <c r="AP39" s="402"/>
      <c r="AQ39" s="402"/>
      <c r="AR39" s="402"/>
      <c r="AS39" s="402"/>
      <c r="AT39" s="402"/>
      <c r="AU39" s="402"/>
      <c r="AV39" s="402" t="s">
        <v>117</v>
      </c>
      <c r="AW39" s="402"/>
      <c r="AX39" s="402"/>
    </row>
    <row r="40" spans="2:50" ht="11.25" customHeight="1" thickTop="1" thickBot="1">
      <c r="B40" s="481"/>
      <c r="C40" s="481"/>
      <c r="D40" s="481"/>
      <c r="E40" s="481"/>
      <c r="F40" s="481"/>
      <c r="G40" s="481"/>
      <c r="H40" s="481"/>
      <c r="I40" s="481"/>
      <c r="J40" s="481"/>
      <c r="K40" s="481"/>
      <c r="L40" s="481"/>
      <c r="M40" s="481"/>
      <c r="N40" s="402"/>
      <c r="O40" s="402"/>
      <c r="P40" s="402"/>
      <c r="Q40" s="402"/>
      <c r="R40" s="402"/>
      <c r="S40" s="402"/>
      <c r="T40" s="402"/>
      <c r="U40" s="402"/>
      <c r="V40" s="402"/>
      <c r="W40" s="402"/>
      <c r="X40" s="402"/>
      <c r="Y40" s="402"/>
      <c r="Z40" s="402"/>
      <c r="AA40" s="402"/>
      <c r="AB40" s="402"/>
      <c r="AC40" s="402"/>
      <c r="AD40" s="402"/>
      <c r="AE40" s="402"/>
      <c r="AF40" s="402"/>
      <c r="AG40" s="402"/>
      <c r="AH40" s="402"/>
      <c r="AI40" s="402"/>
      <c r="AJ40" s="402"/>
      <c r="AK40" s="402"/>
      <c r="AL40" s="402"/>
      <c r="AM40" s="402"/>
      <c r="AN40" s="402"/>
      <c r="AO40" s="402"/>
      <c r="AP40" s="402"/>
      <c r="AQ40" s="402"/>
      <c r="AR40" s="402"/>
      <c r="AS40" s="402"/>
      <c r="AT40" s="402"/>
      <c r="AU40" s="402"/>
      <c r="AV40" s="402"/>
      <c r="AW40" s="402"/>
      <c r="AX40" s="402"/>
    </row>
    <row r="41" spans="2:50" ht="11.25" customHeight="1" thickTop="1" thickBot="1">
      <c r="B41" s="481"/>
      <c r="C41" s="481"/>
      <c r="D41" s="481"/>
      <c r="E41" s="481"/>
      <c r="F41" s="481"/>
      <c r="G41" s="481"/>
      <c r="H41" s="481"/>
      <c r="I41" s="481"/>
      <c r="J41" s="481"/>
      <c r="K41" s="481"/>
      <c r="L41" s="481"/>
      <c r="M41" s="481"/>
      <c r="N41" s="402"/>
      <c r="O41" s="402"/>
      <c r="P41" s="402"/>
      <c r="Q41" s="402"/>
      <c r="R41" s="402"/>
      <c r="S41" s="402"/>
      <c r="T41" s="402"/>
      <c r="U41" s="402"/>
      <c r="V41" s="402"/>
      <c r="W41" s="402"/>
      <c r="X41" s="402"/>
      <c r="Y41" s="402"/>
      <c r="Z41" s="402"/>
      <c r="AA41" s="402"/>
      <c r="AB41" s="402"/>
      <c r="AC41" s="402"/>
      <c r="AD41" s="402"/>
      <c r="AE41" s="402"/>
      <c r="AF41" s="402"/>
      <c r="AG41" s="402"/>
      <c r="AH41" s="402"/>
      <c r="AI41" s="402"/>
      <c r="AJ41" s="402"/>
      <c r="AK41" s="402"/>
      <c r="AL41" s="402"/>
      <c r="AM41" s="402"/>
      <c r="AN41" s="402"/>
      <c r="AO41" s="402"/>
      <c r="AP41" s="402"/>
      <c r="AQ41" s="402"/>
      <c r="AR41" s="402"/>
      <c r="AS41" s="402"/>
      <c r="AT41" s="402"/>
      <c r="AU41" s="402"/>
      <c r="AV41" s="402"/>
      <c r="AW41" s="402"/>
      <c r="AX41" s="402"/>
    </row>
    <row r="42" spans="2:50" ht="11.25" customHeight="1" thickTop="1" thickBot="1">
      <c r="B42" s="481"/>
      <c r="C42" s="481"/>
      <c r="D42" s="481"/>
      <c r="E42" s="481"/>
      <c r="F42" s="481"/>
      <c r="G42" s="481"/>
      <c r="H42" s="481"/>
      <c r="I42" s="481"/>
      <c r="J42" s="481"/>
      <c r="K42" s="481"/>
      <c r="L42" s="481"/>
      <c r="M42" s="481"/>
      <c r="N42" s="402" t="s">
        <v>121</v>
      </c>
      <c r="O42" s="402"/>
      <c r="P42" s="402"/>
      <c r="Q42" s="402"/>
      <c r="R42" s="402"/>
      <c r="S42" s="402"/>
      <c r="T42" s="402"/>
      <c r="U42" s="402"/>
      <c r="V42" s="402" t="s">
        <v>116</v>
      </c>
      <c r="W42" s="402"/>
      <c r="X42" s="402"/>
      <c r="Y42" s="402"/>
      <c r="Z42" s="402"/>
      <c r="AA42" s="402"/>
      <c r="AB42" s="402"/>
      <c r="AC42" s="402"/>
      <c r="AD42" s="402" t="s">
        <v>117</v>
      </c>
      <c r="AE42" s="402"/>
      <c r="AF42" s="402"/>
      <c r="AG42" s="402" t="s">
        <v>122</v>
      </c>
      <c r="AH42" s="402"/>
      <c r="AI42" s="402"/>
      <c r="AJ42" s="402"/>
      <c r="AK42" s="402"/>
      <c r="AL42" s="402"/>
      <c r="AM42" s="402"/>
      <c r="AN42" s="402"/>
      <c r="AO42" s="402" t="s">
        <v>116</v>
      </c>
      <c r="AP42" s="402"/>
      <c r="AQ42" s="402"/>
      <c r="AR42" s="402"/>
      <c r="AS42" s="402"/>
      <c r="AT42" s="402"/>
      <c r="AU42" s="402"/>
      <c r="AV42" s="402" t="s">
        <v>117</v>
      </c>
      <c r="AW42" s="402"/>
      <c r="AX42" s="402"/>
    </row>
    <row r="43" spans="2:50" ht="11.25" customHeight="1" thickTop="1" thickBot="1">
      <c r="B43" s="481"/>
      <c r="C43" s="481"/>
      <c r="D43" s="481"/>
      <c r="E43" s="481"/>
      <c r="F43" s="481"/>
      <c r="G43" s="481"/>
      <c r="H43" s="481"/>
      <c r="I43" s="481"/>
      <c r="J43" s="481"/>
      <c r="K43" s="481"/>
      <c r="L43" s="481"/>
      <c r="M43" s="481"/>
      <c r="N43" s="402"/>
      <c r="O43" s="402"/>
      <c r="P43" s="402"/>
      <c r="Q43" s="402"/>
      <c r="R43" s="402"/>
      <c r="S43" s="402"/>
      <c r="T43" s="402"/>
      <c r="U43" s="402"/>
      <c r="V43" s="402"/>
      <c r="W43" s="402"/>
      <c r="X43" s="402"/>
      <c r="Y43" s="402"/>
      <c r="Z43" s="402"/>
      <c r="AA43" s="402"/>
      <c r="AB43" s="402"/>
      <c r="AC43" s="402"/>
      <c r="AD43" s="402"/>
      <c r="AE43" s="402"/>
      <c r="AF43" s="402"/>
      <c r="AG43" s="402"/>
      <c r="AH43" s="402"/>
      <c r="AI43" s="402"/>
      <c r="AJ43" s="402"/>
      <c r="AK43" s="402"/>
      <c r="AL43" s="402"/>
      <c r="AM43" s="402"/>
      <c r="AN43" s="402"/>
      <c r="AO43" s="402"/>
      <c r="AP43" s="402"/>
      <c r="AQ43" s="402"/>
      <c r="AR43" s="402"/>
      <c r="AS43" s="402"/>
      <c r="AT43" s="402"/>
      <c r="AU43" s="402"/>
      <c r="AV43" s="402"/>
      <c r="AW43" s="402"/>
      <c r="AX43" s="402"/>
    </row>
    <row r="44" spans="2:50" ht="11.25" customHeight="1" thickTop="1" thickBot="1">
      <c r="B44" s="481"/>
      <c r="C44" s="481"/>
      <c r="D44" s="481"/>
      <c r="E44" s="481"/>
      <c r="F44" s="481"/>
      <c r="G44" s="481"/>
      <c r="H44" s="481"/>
      <c r="I44" s="481"/>
      <c r="J44" s="481"/>
      <c r="K44" s="481"/>
      <c r="L44" s="481"/>
      <c r="M44" s="481"/>
      <c r="N44" s="402"/>
      <c r="O44" s="402"/>
      <c r="P44" s="402"/>
      <c r="Q44" s="402"/>
      <c r="R44" s="402"/>
      <c r="S44" s="402"/>
      <c r="T44" s="402"/>
      <c r="U44" s="402"/>
      <c r="V44" s="402"/>
      <c r="W44" s="402"/>
      <c r="X44" s="402"/>
      <c r="Y44" s="402"/>
      <c r="Z44" s="402"/>
      <c r="AA44" s="402"/>
      <c r="AB44" s="402"/>
      <c r="AC44" s="402"/>
      <c r="AD44" s="402"/>
      <c r="AE44" s="402"/>
      <c r="AF44" s="402"/>
      <c r="AG44" s="402"/>
      <c r="AH44" s="402"/>
      <c r="AI44" s="402"/>
      <c r="AJ44" s="402"/>
      <c r="AK44" s="402"/>
      <c r="AL44" s="402"/>
      <c r="AM44" s="402"/>
      <c r="AN44" s="402"/>
      <c r="AO44" s="402"/>
      <c r="AP44" s="402"/>
      <c r="AQ44" s="402"/>
      <c r="AR44" s="402"/>
      <c r="AS44" s="402"/>
      <c r="AT44" s="402"/>
      <c r="AU44" s="402"/>
      <c r="AV44" s="402"/>
      <c r="AW44" s="402"/>
      <c r="AX44" s="402"/>
    </row>
    <row r="45" spans="2:50" ht="11.25" customHeight="1" thickTop="1" thickBot="1">
      <c r="B45" s="481"/>
      <c r="C45" s="481"/>
      <c r="D45" s="481"/>
      <c r="E45" s="481"/>
      <c r="F45" s="481"/>
      <c r="G45" s="481"/>
      <c r="H45" s="481"/>
      <c r="I45" s="481"/>
      <c r="J45" s="481"/>
      <c r="K45" s="481"/>
      <c r="L45" s="481"/>
      <c r="M45" s="481"/>
      <c r="N45" s="402" t="s">
        <v>123</v>
      </c>
      <c r="O45" s="402"/>
      <c r="P45" s="402"/>
      <c r="Q45" s="402"/>
      <c r="R45" s="402"/>
      <c r="S45" s="402"/>
      <c r="T45" s="402"/>
      <c r="U45" s="402"/>
      <c r="V45" s="402" t="s">
        <v>116</v>
      </c>
      <c r="W45" s="402"/>
      <c r="X45" s="402"/>
      <c r="Y45" s="402"/>
      <c r="Z45" s="402"/>
      <c r="AA45" s="402"/>
      <c r="AB45" s="402"/>
      <c r="AC45" s="402"/>
      <c r="AD45" s="402" t="s">
        <v>117</v>
      </c>
      <c r="AE45" s="402"/>
      <c r="AF45" s="402"/>
      <c r="AG45" s="402" t="s">
        <v>124</v>
      </c>
      <c r="AH45" s="402"/>
      <c r="AI45" s="402"/>
      <c r="AJ45" s="402"/>
      <c r="AK45" s="402"/>
      <c r="AL45" s="402"/>
      <c r="AM45" s="402"/>
      <c r="AN45" s="402"/>
      <c r="AO45" s="402" t="s">
        <v>125</v>
      </c>
      <c r="AP45" s="402"/>
      <c r="AQ45" s="402"/>
      <c r="AR45" s="402"/>
      <c r="AS45" s="402"/>
      <c r="AT45" s="402"/>
      <c r="AU45" s="402"/>
      <c r="AV45" s="402" t="s">
        <v>117</v>
      </c>
      <c r="AW45" s="402"/>
      <c r="AX45" s="402"/>
    </row>
    <row r="46" spans="2:50" ht="11.25" customHeight="1" thickTop="1" thickBot="1">
      <c r="B46" s="481"/>
      <c r="C46" s="481"/>
      <c r="D46" s="481"/>
      <c r="E46" s="481"/>
      <c r="F46" s="481"/>
      <c r="G46" s="481"/>
      <c r="H46" s="481"/>
      <c r="I46" s="481"/>
      <c r="J46" s="481"/>
      <c r="K46" s="481"/>
      <c r="L46" s="481"/>
      <c r="M46" s="481"/>
      <c r="N46" s="402"/>
      <c r="O46" s="402"/>
      <c r="P46" s="402"/>
      <c r="Q46" s="402"/>
      <c r="R46" s="402"/>
      <c r="S46" s="402"/>
      <c r="T46" s="402"/>
      <c r="U46" s="402"/>
      <c r="V46" s="402"/>
      <c r="W46" s="402"/>
      <c r="X46" s="402"/>
      <c r="Y46" s="402"/>
      <c r="Z46" s="402"/>
      <c r="AA46" s="402"/>
      <c r="AB46" s="402"/>
      <c r="AC46" s="402"/>
      <c r="AD46" s="402"/>
      <c r="AE46" s="402"/>
      <c r="AF46" s="402"/>
      <c r="AG46" s="402"/>
      <c r="AH46" s="402"/>
      <c r="AI46" s="402"/>
      <c r="AJ46" s="402"/>
      <c r="AK46" s="402"/>
      <c r="AL46" s="402"/>
      <c r="AM46" s="402"/>
      <c r="AN46" s="402"/>
      <c r="AO46" s="402"/>
      <c r="AP46" s="402"/>
      <c r="AQ46" s="402"/>
      <c r="AR46" s="402"/>
      <c r="AS46" s="402"/>
      <c r="AT46" s="402"/>
      <c r="AU46" s="402"/>
      <c r="AV46" s="402"/>
      <c r="AW46" s="402"/>
      <c r="AX46" s="402"/>
    </row>
    <row r="47" spans="2:50" ht="11.25" customHeight="1" thickTop="1" thickBot="1">
      <c r="B47" s="481"/>
      <c r="C47" s="481"/>
      <c r="D47" s="481"/>
      <c r="E47" s="481"/>
      <c r="F47" s="481"/>
      <c r="G47" s="481"/>
      <c r="H47" s="481"/>
      <c r="I47" s="481"/>
      <c r="J47" s="481"/>
      <c r="K47" s="481"/>
      <c r="L47" s="481"/>
      <c r="M47" s="481"/>
      <c r="N47" s="402"/>
      <c r="O47" s="402"/>
      <c r="P47" s="402"/>
      <c r="Q47" s="402"/>
      <c r="R47" s="402"/>
      <c r="S47" s="402"/>
      <c r="T47" s="402"/>
      <c r="U47" s="402"/>
      <c r="V47" s="402"/>
      <c r="W47" s="402"/>
      <c r="X47" s="402"/>
      <c r="Y47" s="402"/>
      <c r="Z47" s="402"/>
      <c r="AA47" s="402"/>
      <c r="AB47" s="402"/>
      <c r="AC47" s="402"/>
      <c r="AD47" s="402"/>
      <c r="AE47" s="402"/>
      <c r="AF47" s="402"/>
      <c r="AG47" s="402"/>
      <c r="AH47" s="402"/>
      <c r="AI47" s="402"/>
      <c r="AJ47" s="402"/>
      <c r="AK47" s="402"/>
      <c r="AL47" s="402"/>
      <c r="AM47" s="402"/>
      <c r="AN47" s="402"/>
      <c r="AO47" s="402"/>
      <c r="AP47" s="402"/>
      <c r="AQ47" s="402"/>
      <c r="AR47" s="402"/>
      <c r="AS47" s="402"/>
      <c r="AT47" s="402"/>
      <c r="AU47" s="402"/>
      <c r="AV47" s="402"/>
      <c r="AW47" s="402"/>
      <c r="AX47" s="402"/>
    </row>
    <row r="48" spans="2:50" ht="11.25" customHeight="1" thickTop="1" thickBot="1">
      <c r="B48" s="481"/>
      <c r="C48" s="481"/>
      <c r="D48" s="481"/>
      <c r="E48" s="481"/>
      <c r="F48" s="481"/>
      <c r="G48" s="481"/>
      <c r="H48" s="481"/>
      <c r="I48" s="481"/>
      <c r="J48" s="481"/>
      <c r="K48" s="481"/>
      <c r="L48" s="481"/>
      <c r="M48" s="481"/>
      <c r="N48" s="402" t="s">
        <v>126</v>
      </c>
      <c r="O48" s="402"/>
      <c r="P48" s="402"/>
      <c r="Q48" s="402"/>
      <c r="R48" s="402"/>
      <c r="S48" s="402"/>
      <c r="T48" s="402"/>
      <c r="U48" s="402"/>
      <c r="V48" s="402" t="s">
        <v>116</v>
      </c>
      <c r="W48" s="402"/>
      <c r="X48" s="402"/>
      <c r="Y48" s="402"/>
      <c r="Z48" s="402"/>
      <c r="AA48" s="402"/>
      <c r="AB48" s="402"/>
      <c r="AC48" s="402"/>
      <c r="AD48" s="402" t="s">
        <v>117</v>
      </c>
      <c r="AE48" s="402"/>
      <c r="AF48" s="402"/>
      <c r="AG48" s="402" t="s">
        <v>127</v>
      </c>
      <c r="AH48" s="402"/>
      <c r="AI48" s="402"/>
      <c r="AJ48" s="402"/>
      <c r="AK48" s="402"/>
      <c r="AL48" s="402"/>
      <c r="AM48" s="402"/>
      <c r="AN48" s="402"/>
      <c r="AO48" s="402" t="s">
        <v>125</v>
      </c>
      <c r="AP48" s="402"/>
      <c r="AQ48" s="402"/>
      <c r="AR48" s="402"/>
      <c r="AS48" s="402"/>
      <c r="AT48" s="402"/>
      <c r="AU48" s="402"/>
      <c r="AV48" s="402" t="s">
        <v>117</v>
      </c>
      <c r="AW48" s="402"/>
      <c r="AX48" s="402"/>
    </row>
    <row r="49" spans="2:50" ht="11.25" customHeight="1" thickTop="1" thickBot="1">
      <c r="B49" s="481"/>
      <c r="C49" s="481"/>
      <c r="D49" s="481"/>
      <c r="E49" s="481"/>
      <c r="F49" s="481"/>
      <c r="G49" s="481"/>
      <c r="H49" s="481"/>
      <c r="I49" s="481"/>
      <c r="J49" s="481"/>
      <c r="K49" s="481"/>
      <c r="L49" s="481"/>
      <c r="M49" s="481"/>
      <c r="N49" s="402"/>
      <c r="O49" s="402"/>
      <c r="P49" s="402"/>
      <c r="Q49" s="402"/>
      <c r="R49" s="402"/>
      <c r="S49" s="402"/>
      <c r="T49" s="402"/>
      <c r="U49" s="402"/>
      <c r="V49" s="402"/>
      <c r="W49" s="402"/>
      <c r="X49" s="402"/>
      <c r="Y49" s="402"/>
      <c r="Z49" s="402"/>
      <c r="AA49" s="402"/>
      <c r="AB49" s="402"/>
      <c r="AC49" s="402"/>
      <c r="AD49" s="402"/>
      <c r="AE49" s="402"/>
      <c r="AF49" s="402"/>
      <c r="AG49" s="402"/>
      <c r="AH49" s="402"/>
      <c r="AI49" s="402"/>
      <c r="AJ49" s="402"/>
      <c r="AK49" s="402"/>
      <c r="AL49" s="402"/>
      <c r="AM49" s="402"/>
      <c r="AN49" s="402"/>
      <c r="AO49" s="402"/>
      <c r="AP49" s="402"/>
      <c r="AQ49" s="402"/>
      <c r="AR49" s="402"/>
      <c r="AS49" s="402"/>
      <c r="AT49" s="402"/>
      <c r="AU49" s="402"/>
      <c r="AV49" s="402"/>
      <c r="AW49" s="402"/>
      <c r="AX49" s="402"/>
    </row>
    <row r="50" spans="2:50" ht="11.25" customHeight="1" thickTop="1" thickBot="1">
      <c r="B50" s="481"/>
      <c r="C50" s="481"/>
      <c r="D50" s="481"/>
      <c r="E50" s="481"/>
      <c r="F50" s="481"/>
      <c r="G50" s="481"/>
      <c r="H50" s="481"/>
      <c r="I50" s="481"/>
      <c r="J50" s="481"/>
      <c r="K50" s="481"/>
      <c r="L50" s="481"/>
      <c r="M50" s="481"/>
      <c r="N50" s="402"/>
      <c r="O50" s="402"/>
      <c r="P50" s="402"/>
      <c r="Q50" s="402"/>
      <c r="R50" s="402"/>
      <c r="S50" s="402"/>
      <c r="T50" s="402"/>
      <c r="U50" s="402"/>
      <c r="V50" s="402"/>
      <c r="W50" s="402"/>
      <c r="X50" s="402"/>
      <c r="Y50" s="402"/>
      <c r="Z50" s="402"/>
      <c r="AA50" s="402"/>
      <c r="AB50" s="402"/>
      <c r="AC50" s="402"/>
      <c r="AD50" s="402"/>
      <c r="AE50" s="402"/>
      <c r="AF50" s="402"/>
      <c r="AG50" s="402"/>
      <c r="AH50" s="402"/>
      <c r="AI50" s="402"/>
      <c r="AJ50" s="402"/>
      <c r="AK50" s="402"/>
      <c r="AL50" s="402"/>
      <c r="AM50" s="402"/>
      <c r="AN50" s="402"/>
      <c r="AO50" s="402"/>
      <c r="AP50" s="402"/>
      <c r="AQ50" s="402"/>
      <c r="AR50" s="402"/>
      <c r="AS50" s="402"/>
      <c r="AT50" s="402"/>
      <c r="AU50" s="402"/>
      <c r="AV50" s="402"/>
      <c r="AW50" s="402"/>
      <c r="AX50" s="402"/>
    </row>
    <row r="51" spans="2:50" ht="11.25" customHeight="1" thickTop="1" thickBot="1">
      <c r="B51" s="481"/>
      <c r="C51" s="481"/>
      <c r="D51" s="481"/>
      <c r="E51" s="481"/>
      <c r="F51" s="481"/>
      <c r="G51" s="481"/>
      <c r="H51" s="481"/>
      <c r="I51" s="481"/>
      <c r="J51" s="481"/>
      <c r="K51" s="481"/>
      <c r="L51" s="481"/>
      <c r="M51" s="481"/>
      <c r="N51" s="458" t="s">
        <v>128</v>
      </c>
      <c r="O51" s="458"/>
      <c r="P51" s="458"/>
      <c r="Q51" s="458"/>
      <c r="R51" s="458"/>
      <c r="S51" s="458"/>
      <c r="T51" s="458"/>
      <c r="U51" s="458"/>
      <c r="V51" s="458"/>
      <c r="W51" s="458"/>
      <c r="X51" s="458"/>
      <c r="Y51" s="458"/>
      <c r="Z51" s="458"/>
      <c r="AA51" s="458"/>
      <c r="AB51" s="458"/>
      <c r="AC51" s="458"/>
      <c r="AD51" s="458"/>
      <c r="AE51" s="458"/>
      <c r="AF51" s="458"/>
      <c r="AG51" s="458"/>
      <c r="AH51" s="458"/>
      <c r="AI51" s="458"/>
      <c r="AJ51" s="458"/>
      <c r="AK51" s="458"/>
      <c r="AL51" s="458"/>
      <c r="AM51" s="458"/>
      <c r="AN51" s="458"/>
      <c r="AO51" s="458"/>
      <c r="AP51" s="458"/>
      <c r="AQ51" s="458"/>
      <c r="AR51" s="458"/>
      <c r="AS51" s="458"/>
      <c r="AT51" s="458"/>
      <c r="AU51" s="458"/>
      <c r="AV51" s="458"/>
      <c r="AW51" s="458"/>
      <c r="AX51" s="458"/>
    </row>
    <row r="52" spans="2:50" ht="11.25" customHeight="1" thickTop="1" thickBot="1">
      <c r="B52" s="481"/>
      <c r="C52" s="481"/>
      <c r="D52" s="481"/>
      <c r="E52" s="481"/>
      <c r="F52" s="481"/>
      <c r="G52" s="481"/>
      <c r="H52" s="481"/>
      <c r="I52" s="481"/>
      <c r="J52" s="481"/>
      <c r="K52" s="481"/>
      <c r="L52" s="481"/>
      <c r="M52" s="481"/>
      <c r="N52" s="458"/>
      <c r="O52" s="458"/>
      <c r="P52" s="458"/>
      <c r="Q52" s="458"/>
      <c r="R52" s="458"/>
      <c r="S52" s="458"/>
      <c r="T52" s="458"/>
      <c r="U52" s="458"/>
      <c r="V52" s="458"/>
      <c r="W52" s="458"/>
      <c r="X52" s="458"/>
      <c r="Y52" s="458"/>
      <c r="Z52" s="458"/>
      <c r="AA52" s="458"/>
      <c r="AB52" s="458"/>
      <c r="AC52" s="458"/>
      <c r="AD52" s="458"/>
      <c r="AE52" s="458"/>
      <c r="AF52" s="458"/>
      <c r="AG52" s="458"/>
      <c r="AH52" s="458"/>
      <c r="AI52" s="458"/>
      <c r="AJ52" s="458"/>
      <c r="AK52" s="458"/>
      <c r="AL52" s="458"/>
      <c r="AM52" s="458"/>
      <c r="AN52" s="458"/>
      <c r="AO52" s="458"/>
      <c r="AP52" s="458"/>
      <c r="AQ52" s="458"/>
      <c r="AR52" s="458"/>
      <c r="AS52" s="458"/>
      <c r="AT52" s="458"/>
      <c r="AU52" s="458"/>
      <c r="AV52" s="458"/>
      <c r="AW52" s="458"/>
      <c r="AX52" s="458"/>
    </row>
    <row r="53" spans="2:50" ht="11.25" customHeight="1" thickTop="1" thickBot="1">
      <c r="B53" s="481"/>
      <c r="C53" s="481"/>
      <c r="D53" s="481"/>
      <c r="E53" s="481"/>
      <c r="F53" s="481"/>
      <c r="G53" s="481"/>
      <c r="H53" s="481"/>
      <c r="I53" s="481"/>
      <c r="J53" s="481"/>
      <c r="K53" s="481"/>
      <c r="L53" s="481"/>
      <c r="M53" s="481"/>
      <c r="N53" s="458"/>
      <c r="O53" s="458"/>
      <c r="P53" s="458"/>
      <c r="Q53" s="458"/>
      <c r="R53" s="458"/>
      <c r="S53" s="458"/>
      <c r="T53" s="458"/>
      <c r="U53" s="458"/>
      <c r="V53" s="458"/>
      <c r="W53" s="458"/>
      <c r="X53" s="458"/>
      <c r="Y53" s="458"/>
      <c r="Z53" s="458"/>
      <c r="AA53" s="458"/>
      <c r="AB53" s="458"/>
      <c r="AC53" s="458"/>
      <c r="AD53" s="458"/>
      <c r="AE53" s="458"/>
      <c r="AF53" s="458"/>
      <c r="AG53" s="458"/>
      <c r="AH53" s="458"/>
      <c r="AI53" s="458"/>
      <c r="AJ53" s="458"/>
      <c r="AK53" s="458"/>
      <c r="AL53" s="458"/>
      <c r="AM53" s="458"/>
      <c r="AN53" s="458"/>
      <c r="AO53" s="458"/>
      <c r="AP53" s="458"/>
      <c r="AQ53" s="458"/>
      <c r="AR53" s="458"/>
      <c r="AS53" s="458"/>
      <c r="AT53" s="458"/>
      <c r="AU53" s="458"/>
      <c r="AV53" s="458"/>
      <c r="AW53" s="458"/>
      <c r="AX53" s="458"/>
    </row>
    <row r="54" spans="2:50" ht="11.25" customHeight="1" thickTop="1" thickBot="1">
      <c r="B54" s="461" t="s">
        <v>138</v>
      </c>
      <c r="C54" s="461"/>
      <c r="D54" s="461"/>
      <c r="E54" s="461"/>
      <c r="F54" s="461"/>
      <c r="G54" s="461"/>
      <c r="H54" s="461"/>
      <c r="I54" s="461"/>
      <c r="J54" s="461"/>
      <c r="K54" s="461"/>
      <c r="L54" s="461"/>
      <c r="M54" s="461"/>
      <c r="N54" s="402" t="s">
        <v>129</v>
      </c>
      <c r="O54" s="402"/>
      <c r="P54" s="402"/>
      <c r="Q54" s="402"/>
      <c r="R54" s="402"/>
      <c r="S54" s="402"/>
      <c r="T54" s="402"/>
      <c r="U54" s="402"/>
      <c r="V54" s="402"/>
      <c r="W54" s="402"/>
      <c r="X54" s="402"/>
      <c r="Y54" s="402"/>
      <c r="Z54" s="402"/>
      <c r="AA54" s="402"/>
      <c r="AB54" s="402"/>
      <c r="AC54" s="402"/>
      <c r="AD54" s="402"/>
      <c r="AE54" s="402"/>
      <c r="AF54" s="402"/>
      <c r="AG54" s="402"/>
      <c r="AH54" s="402"/>
      <c r="AI54" s="402"/>
      <c r="AJ54" s="402"/>
      <c r="AK54" s="402"/>
      <c r="AL54" s="402"/>
      <c r="AM54" s="402"/>
      <c r="AN54" s="402"/>
      <c r="AO54" s="402"/>
      <c r="AP54" s="402"/>
      <c r="AQ54" s="402"/>
      <c r="AR54" s="402"/>
      <c r="AS54" s="402"/>
      <c r="AT54" s="402"/>
      <c r="AU54" s="402"/>
      <c r="AV54" s="402"/>
      <c r="AW54" s="402"/>
      <c r="AX54" s="402"/>
    </row>
    <row r="55" spans="2:50" ht="11.25" customHeight="1" thickTop="1" thickBot="1">
      <c r="B55" s="461"/>
      <c r="C55" s="461"/>
      <c r="D55" s="461"/>
      <c r="E55" s="461"/>
      <c r="F55" s="461"/>
      <c r="G55" s="461"/>
      <c r="H55" s="461"/>
      <c r="I55" s="461"/>
      <c r="J55" s="461"/>
      <c r="K55" s="461"/>
      <c r="L55" s="461"/>
      <c r="M55" s="461"/>
      <c r="N55" s="402"/>
      <c r="O55" s="402"/>
      <c r="P55" s="402"/>
      <c r="Q55" s="402"/>
      <c r="R55" s="402"/>
      <c r="S55" s="402"/>
      <c r="T55" s="402"/>
      <c r="U55" s="402"/>
      <c r="V55" s="402"/>
      <c r="W55" s="402"/>
      <c r="X55" s="402"/>
      <c r="Y55" s="402"/>
      <c r="Z55" s="402"/>
      <c r="AA55" s="402"/>
      <c r="AB55" s="402"/>
      <c r="AC55" s="402"/>
      <c r="AD55" s="402"/>
      <c r="AE55" s="402"/>
      <c r="AF55" s="402"/>
      <c r="AG55" s="402"/>
      <c r="AH55" s="402"/>
      <c r="AI55" s="402"/>
      <c r="AJ55" s="402"/>
      <c r="AK55" s="402"/>
      <c r="AL55" s="402"/>
      <c r="AM55" s="402"/>
      <c r="AN55" s="402"/>
      <c r="AO55" s="402"/>
      <c r="AP55" s="402"/>
      <c r="AQ55" s="402"/>
      <c r="AR55" s="402"/>
      <c r="AS55" s="402"/>
      <c r="AT55" s="402"/>
      <c r="AU55" s="402"/>
      <c r="AV55" s="402"/>
      <c r="AW55" s="402"/>
      <c r="AX55" s="402"/>
    </row>
    <row r="56" spans="2:50" ht="11.25" customHeight="1" thickTop="1" thickBot="1">
      <c r="B56" s="461"/>
      <c r="C56" s="461"/>
      <c r="D56" s="461"/>
      <c r="E56" s="461"/>
      <c r="F56" s="461"/>
      <c r="G56" s="461"/>
      <c r="H56" s="461"/>
      <c r="I56" s="461"/>
      <c r="J56" s="461"/>
      <c r="K56" s="461"/>
      <c r="L56" s="461"/>
      <c r="M56" s="461"/>
      <c r="N56" s="402"/>
      <c r="O56" s="402"/>
      <c r="P56" s="402"/>
      <c r="Q56" s="402"/>
      <c r="R56" s="402"/>
      <c r="S56" s="402"/>
      <c r="T56" s="402"/>
      <c r="U56" s="402"/>
      <c r="V56" s="402"/>
      <c r="W56" s="402"/>
      <c r="X56" s="402"/>
      <c r="Y56" s="402"/>
      <c r="Z56" s="402"/>
      <c r="AA56" s="402"/>
      <c r="AB56" s="402"/>
      <c r="AC56" s="402"/>
      <c r="AD56" s="402"/>
      <c r="AE56" s="402"/>
      <c r="AF56" s="402"/>
      <c r="AG56" s="402"/>
      <c r="AH56" s="402"/>
      <c r="AI56" s="402"/>
      <c r="AJ56" s="402"/>
      <c r="AK56" s="402"/>
      <c r="AL56" s="402"/>
      <c r="AM56" s="402"/>
      <c r="AN56" s="402"/>
      <c r="AO56" s="402"/>
      <c r="AP56" s="402"/>
      <c r="AQ56" s="402"/>
      <c r="AR56" s="402"/>
      <c r="AS56" s="402"/>
      <c r="AT56" s="402"/>
      <c r="AU56" s="402"/>
      <c r="AV56" s="402"/>
      <c r="AW56" s="402"/>
      <c r="AX56" s="402"/>
    </row>
    <row r="57" spans="2:50" ht="11.25" customHeight="1" thickTop="1" thickBot="1">
      <c r="B57" s="461" t="s">
        <v>139</v>
      </c>
      <c r="C57" s="461"/>
      <c r="D57" s="461"/>
      <c r="E57" s="461"/>
      <c r="F57" s="461"/>
      <c r="G57" s="461"/>
      <c r="H57" s="461"/>
      <c r="I57" s="461"/>
      <c r="J57" s="461"/>
      <c r="K57" s="461"/>
      <c r="L57" s="461"/>
      <c r="M57" s="461"/>
      <c r="N57" s="402" t="s">
        <v>130</v>
      </c>
      <c r="O57" s="402"/>
      <c r="P57" s="402"/>
      <c r="Q57" s="402"/>
      <c r="R57" s="402"/>
      <c r="S57" s="402"/>
      <c r="T57" s="402"/>
      <c r="U57" s="402"/>
      <c r="V57" s="402"/>
      <c r="W57" s="402"/>
      <c r="X57" s="402"/>
      <c r="Y57" s="402"/>
      <c r="Z57" s="402"/>
      <c r="AA57" s="402"/>
      <c r="AB57" s="402"/>
      <c r="AC57" s="402"/>
      <c r="AD57" s="402"/>
      <c r="AE57" s="402"/>
      <c r="AF57" s="402"/>
      <c r="AG57" s="402"/>
      <c r="AH57" s="402"/>
      <c r="AI57" s="402"/>
      <c r="AJ57" s="402"/>
      <c r="AK57" s="402"/>
      <c r="AL57" s="402"/>
      <c r="AM57" s="402"/>
      <c r="AN57" s="402"/>
      <c r="AO57" s="402"/>
      <c r="AP57" s="402"/>
      <c r="AQ57" s="402"/>
      <c r="AR57" s="402"/>
      <c r="AS57" s="402"/>
      <c r="AT57" s="402"/>
      <c r="AU57" s="402"/>
      <c r="AV57" s="402"/>
      <c r="AW57" s="402"/>
      <c r="AX57" s="402"/>
    </row>
    <row r="58" spans="2:50" ht="11.25" customHeight="1" thickTop="1" thickBot="1">
      <c r="B58" s="461"/>
      <c r="C58" s="461"/>
      <c r="D58" s="461"/>
      <c r="E58" s="461"/>
      <c r="F58" s="461"/>
      <c r="G58" s="461"/>
      <c r="H58" s="461"/>
      <c r="I58" s="461"/>
      <c r="J58" s="461"/>
      <c r="K58" s="461"/>
      <c r="L58" s="461"/>
      <c r="M58" s="461"/>
      <c r="N58" s="402"/>
      <c r="O58" s="402"/>
      <c r="P58" s="402"/>
      <c r="Q58" s="402"/>
      <c r="R58" s="402"/>
      <c r="S58" s="402"/>
      <c r="T58" s="402"/>
      <c r="U58" s="402"/>
      <c r="V58" s="402"/>
      <c r="W58" s="402"/>
      <c r="X58" s="402"/>
      <c r="Y58" s="402"/>
      <c r="Z58" s="402"/>
      <c r="AA58" s="402"/>
      <c r="AB58" s="402"/>
      <c r="AC58" s="402"/>
      <c r="AD58" s="402"/>
      <c r="AE58" s="402"/>
      <c r="AF58" s="402"/>
      <c r="AG58" s="402"/>
      <c r="AH58" s="402"/>
      <c r="AI58" s="402"/>
      <c r="AJ58" s="402"/>
      <c r="AK58" s="402"/>
      <c r="AL58" s="402"/>
      <c r="AM58" s="402"/>
      <c r="AN58" s="402"/>
      <c r="AO58" s="402"/>
      <c r="AP58" s="402"/>
      <c r="AQ58" s="402"/>
      <c r="AR58" s="402"/>
      <c r="AS58" s="402"/>
      <c r="AT58" s="402"/>
      <c r="AU58" s="402"/>
      <c r="AV58" s="402"/>
      <c r="AW58" s="402"/>
      <c r="AX58" s="402"/>
    </row>
    <row r="59" spans="2:50" ht="11.25" customHeight="1" thickTop="1" thickBot="1">
      <c r="B59" s="461"/>
      <c r="C59" s="461"/>
      <c r="D59" s="461"/>
      <c r="E59" s="461"/>
      <c r="F59" s="461"/>
      <c r="G59" s="461"/>
      <c r="H59" s="461"/>
      <c r="I59" s="461"/>
      <c r="J59" s="461"/>
      <c r="K59" s="461"/>
      <c r="L59" s="461"/>
      <c r="M59" s="461"/>
      <c r="N59" s="402"/>
      <c r="O59" s="402"/>
      <c r="P59" s="402"/>
      <c r="Q59" s="402"/>
      <c r="R59" s="402"/>
      <c r="S59" s="402"/>
      <c r="T59" s="402"/>
      <c r="U59" s="402"/>
      <c r="V59" s="402"/>
      <c r="W59" s="402"/>
      <c r="X59" s="402"/>
      <c r="Y59" s="402"/>
      <c r="Z59" s="402"/>
      <c r="AA59" s="402"/>
      <c r="AB59" s="402"/>
      <c r="AC59" s="402"/>
      <c r="AD59" s="402"/>
      <c r="AE59" s="402"/>
      <c r="AF59" s="402"/>
      <c r="AG59" s="402"/>
      <c r="AH59" s="402"/>
      <c r="AI59" s="402"/>
      <c r="AJ59" s="402"/>
      <c r="AK59" s="402"/>
      <c r="AL59" s="402"/>
      <c r="AM59" s="402"/>
      <c r="AN59" s="402"/>
      <c r="AO59" s="402"/>
      <c r="AP59" s="402"/>
      <c r="AQ59" s="402"/>
      <c r="AR59" s="402"/>
      <c r="AS59" s="402"/>
      <c r="AT59" s="402"/>
      <c r="AU59" s="402"/>
      <c r="AV59" s="402"/>
      <c r="AW59" s="402"/>
      <c r="AX59" s="402"/>
    </row>
    <row r="60" spans="2:50" ht="11.25" customHeight="1" thickTop="1" thickBot="1">
      <c r="B60" s="461" t="s">
        <v>292</v>
      </c>
      <c r="C60" s="461"/>
      <c r="D60" s="461"/>
      <c r="E60" s="461"/>
      <c r="F60" s="461"/>
      <c r="G60" s="461"/>
      <c r="H60" s="461"/>
      <c r="I60" s="461"/>
      <c r="J60" s="461"/>
      <c r="K60" s="461"/>
      <c r="L60" s="461"/>
      <c r="M60" s="461"/>
      <c r="N60" s="402" t="str">
        <f>'秘書-input'!B7</f>
        <v>(空白)</v>
      </c>
      <c r="O60" s="402"/>
      <c r="P60" s="402"/>
      <c r="Q60" s="402"/>
      <c r="R60" s="402"/>
      <c r="S60" s="402"/>
      <c r="T60" s="402"/>
      <c r="U60" s="402"/>
      <c r="V60" s="402"/>
      <c r="W60" s="402"/>
      <c r="X60" s="402"/>
      <c r="Y60" s="402"/>
      <c r="Z60" s="402"/>
      <c r="AA60" s="402"/>
      <c r="AB60" s="402"/>
      <c r="AC60" s="402"/>
      <c r="AD60" s="402"/>
      <c r="AE60" s="402"/>
      <c r="AF60" s="402"/>
      <c r="AG60" s="402"/>
      <c r="AH60" s="402"/>
      <c r="AI60" s="402"/>
      <c r="AJ60" s="402"/>
      <c r="AK60" s="402"/>
      <c r="AL60" s="402"/>
      <c r="AM60" s="402"/>
      <c r="AN60" s="402"/>
      <c r="AO60" s="402"/>
      <c r="AP60" s="402"/>
      <c r="AQ60" s="402"/>
      <c r="AR60" s="402"/>
      <c r="AS60" s="402"/>
      <c r="AT60" s="402"/>
      <c r="AU60" s="402"/>
      <c r="AV60" s="402"/>
      <c r="AW60" s="402"/>
      <c r="AX60" s="402"/>
    </row>
    <row r="61" spans="2:50" ht="11.25" customHeight="1" thickTop="1" thickBot="1">
      <c r="B61" s="461"/>
      <c r="C61" s="461"/>
      <c r="D61" s="461"/>
      <c r="E61" s="461"/>
      <c r="F61" s="461"/>
      <c r="G61" s="461"/>
      <c r="H61" s="461"/>
      <c r="I61" s="461"/>
      <c r="J61" s="461"/>
      <c r="K61" s="461"/>
      <c r="L61" s="461"/>
      <c r="M61" s="461"/>
      <c r="N61" s="402"/>
      <c r="O61" s="402"/>
      <c r="P61" s="402"/>
      <c r="Q61" s="402"/>
      <c r="R61" s="402"/>
      <c r="S61" s="402"/>
      <c r="T61" s="402"/>
      <c r="U61" s="402"/>
      <c r="V61" s="402"/>
      <c r="W61" s="402"/>
      <c r="X61" s="402"/>
      <c r="Y61" s="402"/>
      <c r="Z61" s="402"/>
      <c r="AA61" s="402"/>
      <c r="AB61" s="402"/>
      <c r="AC61" s="402"/>
      <c r="AD61" s="402"/>
      <c r="AE61" s="402"/>
      <c r="AF61" s="402"/>
      <c r="AG61" s="402"/>
      <c r="AH61" s="402"/>
      <c r="AI61" s="402"/>
      <c r="AJ61" s="402"/>
      <c r="AK61" s="402"/>
      <c r="AL61" s="402"/>
      <c r="AM61" s="402"/>
      <c r="AN61" s="402"/>
      <c r="AO61" s="402"/>
      <c r="AP61" s="402"/>
      <c r="AQ61" s="402"/>
      <c r="AR61" s="402"/>
      <c r="AS61" s="402"/>
      <c r="AT61" s="402"/>
      <c r="AU61" s="402"/>
      <c r="AV61" s="402"/>
      <c r="AW61" s="402"/>
      <c r="AX61" s="402"/>
    </row>
    <row r="62" spans="2:50" ht="11.25" customHeight="1" thickTop="1" thickBot="1">
      <c r="B62" s="461"/>
      <c r="C62" s="461"/>
      <c r="D62" s="461"/>
      <c r="E62" s="461"/>
      <c r="F62" s="461"/>
      <c r="G62" s="461"/>
      <c r="H62" s="461"/>
      <c r="I62" s="461"/>
      <c r="J62" s="461"/>
      <c r="K62" s="461"/>
      <c r="L62" s="461"/>
      <c r="M62" s="461"/>
      <c r="N62" s="402"/>
      <c r="O62" s="402"/>
      <c r="P62" s="402"/>
      <c r="Q62" s="402"/>
      <c r="R62" s="402"/>
      <c r="S62" s="402"/>
      <c r="T62" s="402"/>
      <c r="U62" s="402"/>
      <c r="V62" s="402"/>
      <c r="W62" s="402"/>
      <c r="X62" s="402"/>
      <c r="Y62" s="402"/>
      <c r="Z62" s="402"/>
      <c r="AA62" s="402"/>
      <c r="AB62" s="402"/>
      <c r="AC62" s="402"/>
      <c r="AD62" s="402"/>
      <c r="AE62" s="402"/>
      <c r="AF62" s="402"/>
      <c r="AG62" s="402"/>
      <c r="AH62" s="402"/>
      <c r="AI62" s="402"/>
      <c r="AJ62" s="402"/>
      <c r="AK62" s="402"/>
      <c r="AL62" s="402"/>
      <c r="AM62" s="402"/>
      <c r="AN62" s="402"/>
      <c r="AO62" s="402"/>
      <c r="AP62" s="402"/>
      <c r="AQ62" s="402"/>
      <c r="AR62" s="402"/>
      <c r="AS62" s="402"/>
      <c r="AT62" s="402"/>
      <c r="AU62" s="402"/>
      <c r="AV62" s="402"/>
      <c r="AW62" s="402"/>
      <c r="AX62" s="402"/>
    </row>
    <row r="63" spans="2:50" ht="11.25" customHeight="1" thickTop="1" thickBot="1">
      <c r="B63" s="461" t="s">
        <v>140</v>
      </c>
      <c r="C63" s="461"/>
      <c r="D63" s="461"/>
      <c r="E63" s="461"/>
      <c r="F63" s="461"/>
      <c r="G63" s="461"/>
      <c r="H63" s="461"/>
      <c r="I63" s="461"/>
      <c r="J63" s="461"/>
      <c r="K63" s="461"/>
      <c r="L63" s="461"/>
      <c r="M63" s="461"/>
      <c r="N63" s="402" t="str">
        <f>'秘書-input'!B26</f>
        <v>近捷運西門站</v>
      </c>
      <c r="O63" s="402"/>
      <c r="P63" s="402"/>
      <c r="Q63" s="402"/>
      <c r="R63" s="402"/>
      <c r="S63" s="402"/>
      <c r="T63" s="402"/>
      <c r="U63" s="402"/>
      <c r="V63" s="402"/>
      <c r="W63" s="402"/>
      <c r="X63" s="402"/>
      <c r="Y63" s="402"/>
      <c r="Z63" s="402"/>
      <c r="AA63" s="402"/>
      <c r="AB63" s="402"/>
      <c r="AC63" s="402"/>
      <c r="AD63" s="402"/>
      <c r="AE63" s="402"/>
      <c r="AF63" s="402"/>
      <c r="AG63" s="402"/>
      <c r="AH63" s="402"/>
      <c r="AI63" s="402"/>
      <c r="AJ63" s="402"/>
      <c r="AK63" s="402"/>
      <c r="AL63" s="402"/>
      <c r="AM63" s="402"/>
      <c r="AN63" s="402"/>
      <c r="AO63" s="402"/>
      <c r="AP63" s="402"/>
      <c r="AQ63" s="402"/>
      <c r="AR63" s="402"/>
      <c r="AS63" s="402"/>
      <c r="AT63" s="402"/>
      <c r="AU63" s="402"/>
      <c r="AV63" s="402"/>
      <c r="AW63" s="402"/>
      <c r="AX63" s="402"/>
    </row>
    <row r="64" spans="2:50" ht="11.25" customHeight="1" thickTop="1" thickBot="1">
      <c r="B64" s="461"/>
      <c r="C64" s="461"/>
      <c r="D64" s="461"/>
      <c r="E64" s="461"/>
      <c r="F64" s="461"/>
      <c r="G64" s="461"/>
      <c r="H64" s="461"/>
      <c r="I64" s="461"/>
      <c r="J64" s="461"/>
      <c r="K64" s="461"/>
      <c r="L64" s="461"/>
      <c r="M64" s="461"/>
      <c r="N64" s="402"/>
      <c r="O64" s="402"/>
      <c r="P64" s="402"/>
      <c r="Q64" s="402"/>
      <c r="R64" s="402"/>
      <c r="S64" s="402"/>
      <c r="T64" s="402"/>
      <c r="U64" s="402"/>
      <c r="V64" s="402"/>
      <c r="W64" s="402"/>
      <c r="X64" s="402"/>
      <c r="Y64" s="402"/>
      <c r="Z64" s="402"/>
      <c r="AA64" s="402"/>
      <c r="AB64" s="402"/>
      <c r="AC64" s="402"/>
      <c r="AD64" s="402"/>
      <c r="AE64" s="402"/>
      <c r="AF64" s="402"/>
      <c r="AG64" s="402"/>
      <c r="AH64" s="402"/>
      <c r="AI64" s="402"/>
      <c r="AJ64" s="402"/>
      <c r="AK64" s="402"/>
      <c r="AL64" s="402"/>
      <c r="AM64" s="402"/>
      <c r="AN64" s="402"/>
      <c r="AO64" s="402"/>
      <c r="AP64" s="402"/>
      <c r="AQ64" s="402"/>
      <c r="AR64" s="402"/>
      <c r="AS64" s="402"/>
      <c r="AT64" s="402"/>
      <c r="AU64" s="402"/>
      <c r="AV64" s="402"/>
      <c r="AW64" s="402"/>
      <c r="AX64" s="402"/>
    </row>
    <row r="65" spans="2:50" ht="11.25" customHeight="1" thickTop="1" thickBot="1">
      <c r="B65" s="461"/>
      <c r="C65" s="461"/>
      <c r="D65" s="461"/>
      <c r="E65" s="461"/>
      <c r="F65" s="461"/>
      <c r="G65" s="461"/>
      <c r="H65" s="461"/>
      <c r="I65" s="461"/>
      <c r="J65" s="461"/>
      <c r="K65" s="461"/>
      <c r="L65" s="461"/>
      <c r="M65" s="461"/>
      <c r="N65" s="402"/>
      <c r="O65" s="402"/>
      <c r="P65" s="402"/>
      <c r="Q65" s="402"/>
      <c r="R65" s="402"/>
      <c r="S65" s="402"/>
      <c r="T65" s="402"/>
      <c r="U65" s="402"/>
      <c r="V65" s="402"/>
      <c r="W65" s="402"/>
      <c r="X65" s="402"/>
      <c r="Y65" s="402"/>
      <c r="Z65" s="402"/>
      <c r="AA65" s="402"/>
      <c r="AB65" s="402"/>
      <c r="AC65" s="402"/>
      <c r="AD65" s="402"/>
      <c r="AE65" s="402"/>
      <c r="AF65" s="402"/>
      <c r="AG65" s="402"/>
      <c r="AH65" s="402"/>
      <c r="AI65" s="402"/>
      <c r="AJ65" s="402"/>
      <c r="AK65" s="402"/>
      <c r="AL65" s="402"/>
      <c r="AM65" s="402"/>
      <c r="AN65" s="402"/>
      <c r="AO65" s="402"/>
      <c r="AP65" s="402"/>
      <c r="AQ65" s="402"/>
      <c r="AR65" s="402"/>
      <c r="AS65" s="402"/>
      <c r="AT65" s="402"/>
      <c r="AU65" s="402"/>
      <c r="AV65" s="402"/>
      <c r="AW65" s="402"/>
      <c r="AX65" s="402"/>
    </row>
    <row r="66" spans="2:50" ht="11.25" customHeight="1" thickTop="1" thickBot="1">
      <c r="B66" s="460" t="s">
        <v>141</v>
      </c>
      <c r="C66" s="460"/>
      <c r="D66" s="460"/>
      <c r="E66" s="460"/>
      <c r="F66" s="460"/>
      <c r="G66" s="460"/>
      <c r="H66" s="460"/>
      <c r="I66" s="460"/>
      <c r="J66" s="460"/>
      <c r="K66" s="460"/>
      <c r="L66" s="460"/>
      <c r="M66" s="460"/>
      <c r="N66" s="402"/>
      <c r="O66" s="402"/>
      <c r="P66" s="402"/>
      <c r="Q66" s="402"/>
      <c r="R66" s="402"/>
      <c r="S66" s="402"/>
      <c r="T66" s="402"/>
      <c r="U66" s="402"/>
      <c r="V66" s="402"/>
      <c r="W66" s="402"/>
      <c r="X66" s="402"/>
      <c r="Y66" s="402"/>
      <c r="Z66" s="402"/>
      <c r="AA66" s="402"/>
      <c r="AB66" s="402"/>
      <c r="AC66" s="402"/>
      <c r="AD66" s="402"/>
      <c r="AE66" s="402"/>
      <c r="AF66" s="402"/>
      <c r="AG66" s="402"/>
      <c r="AH66" s="402"/>
      <c r="AI66" s="402"/>
      <c r="AJ66" s="402"/>
      <c r="AK66" s="402"/>
      <c r="AL66" s="402"/>
      <c r="AM66" s="402"/>
      <c r="AN66" s="402"/>
      <c r="AO66" s="402"/>
      <c r="AP66" s="402"/>
      <c r="AQ66" s="402"/>
      <c r="AR66" s="402"/>
      <c r="AS66" s="402"/>
      <c r="AT66" s="402"/>
      <c r="AU66" s="402"/>
      <c r="AV66" s="402"/>
      <c r="AW66" s="402"/>
      <c r="AX66" s="402"/>
    </row>
    <row r="67" spans="2:50" ht="11.25" customHeight="1" thickTop="1" thickBot="1">
      <c r="B67" s="460"/>
      <c r="C67" s="460"/>
      <c r="D67" s="460"/>
      <c r="E67" s="460"/>
      <c r="F67" s="460"/>
      <c r="G67" s="460"/>
      <c r="H67" s="460"/>
      <c r="I67" s="460"/>
      <c r="J67" s="460"/>
      <c r="K67" s="460"/>
      <c r="L67" s="460"/>
      <c r="M67" s="460"/>
      <c r="N67" s="402"/>
      <c r="O67" s="402"/>
      <c r="P67" s="402"/>
      <c r="Q67" s="402"/>
      <c r="R67" s="402"/>
      <c r="S67" s="402"/>
      <c r="T67" s="402"/>
      <c r="U67" s="402"/>
      <c r="V67" s="402"/>
      <c r="W67" s="402"/>
      <c r="X67" s="402"/>
      <c r="Y67" s="402"/>
      <c r="Z67" s="402"/>
      <c r="AA67" s="402"/>
      <c r="AB67" s="402"/>
      <c r="AC67" s="402"/>
      <c r="AD67" s="402"/>
      <c r="AE67" s="402"/>
      <c r="AF67" s="402"/>
      <c r="AG67" s="402"/>
      <c r="AH67" s="402"/>
      <c r="AI67" s="402"/>
      <c r="AJ67" s="402"/>
      <c r="AK67" s="402"/>
      <c r="AL67" s="402"/>
      <c r="AM67" s="402"/>
      <c r="AN67" s="402"/>
      <c r="AO67" s="402"/>
      <c r="AP67" s="402"/>
      <c r="AQ67" s="402"/>
      <c r="AR67" s="402"/>
      <c r="AS67" s="402"/>
      <c r="AT67" s="402"/>
      <c r="AU67" s="402"/>
      <c r="AV67" s="402"/>
      <c r="AW67" s="402"/>
      <c r="AX67" s="402"/>
    </row>
    <row r="68" spans="2:50" ht="11.25" customHeight="1" thickTop="1" thickBot="1">
      <c r="B68" s="460"/>
      <c r="C68" s="460"/>
      <c r="D68" s="460"/>
      <c r="E68" s="460"/>
      <c r="F68" s="460"/>
      <c r="G68" s="460"/>
      <c r="H68" s="460"/>
      <c r="I68" s="460"/>
      <c r="J68" s="460"/>
      <c r="K68" s="460"/>
      <c r="L68" s="460"/>
      <c r="M68" s="460"/>
      <c r="N68" s="402"/>
      <c r="O68" s="402"/>
      <c r="P68" s="402"/>
      <c r="Q68" s="402"/>
      <c r="R68" s="402"/>
      <c r="S68" s="402"/>
      <c r="T68" s="402"/>
      <c r="U68" s="402"/>
      <c r="V68" s="402"/>
      <c r="W68" s="402"/>
      <c r="X68" s="402"/>
      <c r="Y68" s="402"/>
      <c r="Z68" s="402"/>
      <c r="AA68" s="402"/>
      <c r="AB68" s="402"/>
      <c r="AC68" s="402"/>
      <c r="AD68" s="402"/>
      <c r="AE68" s="402"/>
      <c r="AF68" s="402"/>
      <c r="AG68" s="402"/>
      <c r="AH68" s="402"/>
      <c r="AI68" s="402"/>
      <c r="AJ68" s="402"/>
      <c r="AK68" s="402"/>
      <c r="AL68" s="402"/>
      <c r="AM68" s="402"/>
      <c r="AN68" s="402"/>
      <c r="AO68" s="402"/>
      <c r="AP68" s="402"/>
      <c r="AQ68" s="402"/>
      <c r="AR68" s="402"/>
      <c r="AS68" s="402"/>
      <c r="AT68" s="402"/>
      <c r="AU68" s="402"/>
      <c r="AV68" s="402"/>
      <c r="AW68" s="402"/>
      <c r="AX68" s="402"/>
    </row>
    <row r="69" spans="2:50" ht="11.25" customHeight="1" thickTop="1" thickBot="1">
      <c r="B69" s="460"/>
      <c r="C69" s="460"/>
      <c r="D69" s="460"/>
      <c r="E69" s="460"/>
      <c r="F69" s="460"/>
      <c r="G69" s="460"/>
      <c r="H69" s="460"/>
      <c r="I69" s="460"/>
      <c r="J69" s="460"/>
      <c r="K69" s="460"/>
      <c r="L69" s="460"/>
      <c r="M69" s="460"/>
      <c r="N69" s="402"/>
      <c r="O69" s="402"/>
      <c r="P69" s="402"/>
      <c r="Q69" s="402"/>
      <c r="R69" s="402"/>
      <c r="S69" s="402"/>
      <c r="T69" s="402"/>
      <c r="U69" s="402"/>
      <c r="V69" s="402"/>
      <c r="W69" s="402"/>
      <c r="X69" s="402"/>
      <c r="Y69" s="402"/>
      <c r="Z69" s="402"/>
      <c r="AA69" s="402"/>
      <c r="AB69" s="402"/>
      <c r="AC69" s="402"/>
      <c r="AD69" s="402"/>
      <c r="AE69" s="402"/>
      <c r="AF69" s="402"/>
      <c r="AG69" s="402"/>
      <c r="AH69" s="402"/>
      <c r="AI69" s="402"/>
      <c r="AJ69" s="402"/>
      <c r="AK69" s="402"/>
      <c r="AL69" s="402"/>
      <c r="AM69" s="402"/>
      <c r="AN69" s="402"/>
      <c r="AO69" s="402"/>
      <c r="AP69" s="402"/>
      <c r="AQ69" s="402"/>
      <c r="AR69" s="402"/>
      <c r="AS69" s="402"/>
      <c r="AT69" s="402"/>
      <c r="AU69" s="402"/>
      <c r="AV69" s="402"/>
      <c r="AW69" s="402"/>
      <c r="AX69" s="402"/>
    </row>
    <row r="70" spans="2:50" ht="11.25" customHeight="1" thickTop="1" thickBot="1">
      <c r="B70" s="460"/>
      <c r="C70" s="460"/>
      <c r="D70" s="460"/>
      <c r="E70" s="460"/>
      <c r="F70" s="460"/>
      <c r="G70" s="460"/>
      <c r="H70" s="460"/>
      <c r="I70" s="460"/>
      <c r="J70" s="460"/>
      <c r="K70" s="460"/>
      <c r="L70" s="460"/>
      <c r="M70" s="460"/>
      <c r="N70" s="402"/>
      <c r="O70" s="402"/>
      <c r="P70" s="402"/>
      <c r="Q70" s="402"/>
      <c r="R70" s="402"/>
      <c r="S70" s="402"/>
      <c r="T70" s="402"/>
      <c r="U70" s="402"/>
      <c r="V70" s="402"/>
      <c r="W70" s="402"/>
      <c r="X70" s="402"/>
      <c r="Y70" s="402"/>
      <c r="Z70" s="402"/>
      <c r="AA70" s="402"/>
      <c r="AB70" s="402"/>
      <c r="AC70" s="402"/>
      <c r="AD70" s="402"/>
      <c r="AE70" s="402"/>
      <c r="AF70" s="402"/>
      <c r="AG70" s="402"/>
      <c r="AH70" s="402"/>
      <c r="AI70" s="402"/>
      <c r="AJ70" s="402"/>
      <c r="AK70" s="402"/>
      <c r="AL70" s="402"/>
      <c r="AM70" s="402"/>
      <c r="AN70" s="402"/>
      <c r="AO70" s="402"/>
      <c r="AP70" s="402"/>
      <c r="AQ70" s="402"/>
      <c r="AR70" s="402"/>
      <c r="AS70" s="402"/>
      <c r="AT70" s="402"/>
      <c r="AU70" s="402"/>
      <c r="AV70" s="402"/>
      <c r="AW70" s="402"/>
      <c r="AX70" s="402"/>
    </row>
    <row r="71" spans="2:50" ht="11.25" customHeight="1" thickTop="1" thickBot="1">
      <c r="B71" s="460"/>
      <c r="C71" s="460"/>
      <c r="D71" s="460"/>
      <c r="E71" s="460"/>
      <c r="F71" s="460"/>
      <c r="G71" s="460"/>
      <c r="H71" s="460"/>
      <c r="I71" s="460"/>
      <c r="J71" s="460"/>
      <c r="K71" s="460"/>
      <c r="L71" s="460"/>
      <c r="M71" s="460"/>
      <c r="N71" s="402"/>
      <c r="O71" s="402"/>
      <c r="P71" s="402"/>
      <c r="Q71" s="402"/>
      <c r="R71" s="402"/>
      <c r="S71" s="402"/>
      <c r="T71" s="402"/>
      <c r="U71" s="402"/>
      <c r="V71" s="402"/>
      <c r="W71" s="402"/>
      <c r="X71" s="402"/>
      <c r="Y71" s="402"/>
      <c r="Z71" s="402"/>
      <c r="AA71" s="402"/>
      <c r="AB71" s="402"/>
      <c r="AC71" s="402"/>
      <c r="AD71" s="402"/>
      <c r="AE71" s="402"/>
      <c r="AF71" s="402"/>
      <c r="AG71" s="402"/>
      <c r="AH71" s="402"/>
      <c r="AI71" s="402"/>
      <c r="AJ71" s="402"/>
      <c r="AK71" s="402"/>
      <c r="AL71" s="402"/>
      <c r="AM71" s="402"/>
      <c r="AN71" s="402"/>
      <c r="AO71" s="402"/>
      <c r="AP71" s="402"/>
      <c r="AQ71" s="402"/>
      <c r="AR71" s="402"/>
      <c r="AS71" s="402"/>
      <c r="AT71" s="402"/>
      <c r="AU71" s="402"/>
      <c r="AV71" s="402"/>
      <c r="AW71" s="402"/>
      <c r="AX71" s="402"/>
    </row>
    <row r="72" spans="2:50" ht="11.25" customHeight="1" thickTop="1" thickBot="1">
      <c r="B72" s="460"/>
      <c r="C72" s="460"/>
      <c r="D72" s="460"/>
      <c r="E72" s="460"/>
      <c r="F72" s="460"/>
      <c r="G72" s="460"/>
      <c r="H72" s="460"/>
      <c r="I72" s="460"/>
      <c r="J72" s="460"/>
      <c r="K72" s="460"/>
      <c r="L72" s="460"/>
      <c r="M72" s="460"/>
      <c r="N72" s="402"/>
      <c r="O72" s="402"/>
      <c r="P72" s="402"/>
      <c r="Q72" s="402"/>
      <c r="R72" s="402"/>
      <c r="S72" s="402"/>
      <c r="T72" s="402"/>
      <c r="U72" s="402"/>
      <c r="V72" s="402"/>
      <c r="W72" s="402"/>
      <c r="X72" s="402"/>
      <c r="Y72" s="402"/>
      <c r="Z72" s="402"/>
      <c r="AA72" s="402"/>
      <c r="AB72" s="402"/>
      <c r="AC72" s="402"/>
      <c r="AD72" s="402"/>
      <c r="AE72" s="402"/>
      <c r="AF72" s="402"/>
      <c r="AG72" s="402"/>
      <c r="AH72" s="402"/>
      <c r="AI72" s="402"/>
      <c r="AJ72" s="402"/>
      <c r="AK72" s="402"/>
      <c r="AL72" s="402"/>
      <c r="AM72" s="402"/>
      <c r="AN72" s="402"/>
      <c r="AO72" s="402"/>
      <c r="AP72" s="402"/>
      <c r="AQ72" s="402"/>
      <c r="AR72" s="402"/>
      <c r="AS72" s="402"/>
      <c r="AT72" s="402"/>
      <c r="AU72" s="402"/>
      <c r="AV72" s="402"/>
      <c r="AW72" s="402"/>
      <c r="AX72" s="402"/>
    </row>
    <row r="73" spans="2:50" ht="11.25" customHeight="1" thickTop="1" thickBot="1">
      <c r="B73" s="460"/>
      <c r="C73" s="460"/>
      <c r="D73" s="460"/>
      <c r="E73" s="460"/>
      <c r="F73" s="460"/>
      <c r="G73" s="460"/>
      <c r="H73" s="460"/>
      <c r="I73" s="460"/>
      <c r="J73" s="460"/>
      <c r="K73" s="460"/>
      <c r="L73" s="460"/>
      <c r="M73" s="460"/>
      <c r="N73" s="402"/>
      <c r="O73" s="402"/>
      <c r="P73" s="402"/>
      <c r="Q73" s="402"/>
      <c r="R73" s="402"/>
      <c r="S73" s="402"/>
      <c r="T73" s="402"/>
      <c r="U73" s="402"/>
      <c r="V73" s="402"/>
      <c r="W73" s="402"/>
      <c r="X73" s="402"/>
      <c r="Y73" s="402"/>
      <c r="Z73" s="402"/>
      <c r="AA73" s="402"/>
      <c r="AB73" s="402"/>
      <c r="AC73" s="402"/>
      <c r="AD73" s="402"/>
      <c r="AE73" s="402"/>
      <c r="AF73" s="402"/>
      <c r="AG73" s="402"/>
      <c r="AH73" s="402"/>
      <c r="AI73" s="402"/>
      <c r="AJ73" s="402"/>
      <c r="AK73" s="402"/>
      <c r="AL73" s="402"/>
      <c r="AM73" s="402"/>
      <c r="AN73" s="402"/>
      <c r="AO73" s="402"/>
      <c r="AP73" s="402"/>
      <c r="AQ73" s="402"/>
      <c r="AR73" s="402"/>
      <c r="AS73" s="402"/>
      <c r="AT73" s="402"/>
      <c r="AU73" s="402"/>
      <c r="AV73" s="402"/>
      <c r="AW73" s="402"/>
      <c r="AX73" s="402"/>
    </row>
    <row r="74" spans="2:50" ht="11.25" customHeight="1" thickTop="1" thickBot="1">
      <c r="B74" s="460"/>
      <c r="C74" s="460"/>
      <c r="D74" s="460"/>
      <c r="E74" s="460"/>
      <c r="F74" s="460"/>
      <c r="G74" s="460"/>
      <c r="H74" s="460"/>
      <c r="I74" s="460"/>
      <c r="J74" s="460"/>
      <c r="K74" s="460"/>
      <c r="L74" s="460"/>
      <c r="M74" s="460"/>
      <c r="N74" s="402"/>
      <c r="O74" s="402"/>
      <c r="P74" s="402"/>
      <c r="Q74" s="402"/>
      <c r="R74" s="402"/>
      <c r="S74" s="402"/>
      <c r="T74" s="402"/>
      <c r="U74" s="402"/>
      <c r="V74" s="402"/>
      <c r="W74" s="402"/>
      <c r="X74" s="402"/>
      <c r="Y74" s="402"/>
      <c r="Z74" s="402"/>
      <c r="AA74" s="402"/>
      <c r="AB74" s="402"/>
      <c r="AC74" s="402"/>
      <c r="AD74" s="402"/>
      <c r="AE74" s="402"/>
      <c r="AF74" s="402"/>
      <c r="AG74" s="402"/>
      <c r="AH74" s="402"/>
      <c r="AI74" s="402"/>
      <c r="AJ74" s="402"/>
      <c r="AK74" s="402"/>
      <c r="AL74" s="402"/>
      <c r="AM74" s="402"/>
      <c r="AN74" s="402"/>
      <c r="AO74" s="402"/>
      <c r="AP74" s="402"/>
      <c r="AQ74" s="402"/>
      <c r="AR74" s="402"/>
      <c r="AS74" s="402"/>
      <c r="AT74" s="402"/>
      <c r="AU74" s="402"/>
      <c r="AV74" s="402"/>
      <c r="AW74" s="402"/>
      <c r="AX74" s="402"/>
    </row>
    <row r="75" spans="2:50" ht="11.25" customHeight="1" thickTop="1"/>
  </sheetData>
  <mergeCells count="70">
    <mergeCell ref="B63:M65"/>
    <mergeCell ref="B57:M59"/>
    <mergeCell ref="B18:M32"/>
    <mergeCell ref="B33:M53"/>
    <mergeCell ref="AG45:AN47"/>
    <mergeCell ref="AG36:AN38"/>
    <mergeCell ref="N57:AX59"/>
    <mergeCell ref="AV24:AX26"/>
    <mergeCell ref="AG21:AN23"/>
    <mergeCell ref="AO27:AU29"/>
    <mergeCell ref="AO45:AU47"/>
    <mergeCell ref="B13:M17"/>
    <mergeCell ref="B8:M12"/>
    <mergeCell ref="B60:M62"/>
    <mergeCell ref="AO30:AU32"/>
    <mergeCell ref="AO36:AU38"/>
    <mergeCell ref="AO39:AU41"/>
    <mergeCell ref="AO42:AU44"/>
    <mergeCell ref="N33:AF35"/>
    <mergeCell ref="AD45:AF47"/>
    <mergeCell ref="AV27:AX29"/>
    <mergeCell ref="AV30:AX32"/>
    <mergeCell ref="N36:U38"/>
    <mergeCell ref="N39:U41"/>
    <mergeCell ref="N42:U44"/>
    <mergeCell ref="AD36:AF38"/>
    <mergeCell ref="AD39:AF41"/>
    <mergeCell ref="AD42:AF44"/>
    <mergeCell ref="N30:Y32"/>
    <mergeCell ref="Z30:AF32"/>
    <mergeCell ref="B66:M74"/>
    <mergeCell ref="B54:M56"/>
    <mergeCell ref="V42:AC44"/>
    <mergeCell ref="N60:AX62"/>
    <mergeCell ref="N63:AX65"/>
    <mergeCell ref="N8:AX12"/>
    <mergeCell ref="N21:AF23"/>
    <mergeCell ref="N24:AF26"/>
    <mergeCell ref="N13:AF17"/>
    <mergeCell ref="AG13:AX17"/>
    <mergeCell ref="N66:AX74"/>
    <mergeCell ref="AV48:AX50"/>
    <mergeCell ref="N51:AX53"/>
    <mergeCell ref="V45:AC47"/>
    <mergeCell ref="N54:AX56"/>
    <mergeCell ref="AV36:AX38"/>
    <mergeCell ref="AV39:AX41"/>
    <mergeCell ref="AD48:AF50"/>
    <mergeCell ref="V36:AC38"/>
    <mergeCell ref="V39:AC41"/>
    <mergeCell ref="AO18:AX20"/>
    <mergeCell ref="AV45:AX47"/>
    <mergeCell ref="AV42:AX44"/>
    <mergeCell ref="N45:U47"/>
    <mergeCell ref="AG30:AN32"/>
    <mergeCell ref="N27:AF29"/>
    <mergeCell ref="AG24:AN26"/>
    <mergeCell ref="N18:AF20"/>
    <mergeCell ref="AG18:AN20"/>
    <mergeCell ref="AO21:AU23"/>
    <mergeCell ref="AG27:AN29"/>
    <mergeCell ref="AO24:AU26"/>
    <mergeCell ref="AV21:AX23"/>
    <mergeCell ref="AG48:AN50"/>
    <mergeCell ref="AO48:AU50"/>
    <mergeCell ref="N48:U50"/>
    <mergeCell ref="AG33:AX35"/>
    <mergeCell ref="AG39:AN41"/>
    <mergeCell ref="AG42:AN44"/>
    <mergeCell ref="V48:AC50"/>
  </mergeCells>
  <phoneticPr fontId="2" type="noConversion"/>
  <pageMargins left="0.43307086614173229" right="0" top="0.39370078740157483" bottom="0.19685039370078741" header="0.51181102362204722" footer="0.51181102362204722"/>
  <pageSetup paperSize="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48"/>
  <sheetViews>
    <sheetView zoomScale="75" workbookViewId="0">
      <selection activeCell="G22" sqref="G22"/>
    </sheetView>
  </sheetViews>
  <sheetFormatPr defaultRowHeight="16.5"/>
  <cols>
    <col min="1" max="1" width="2.5" customWidth="1"/>
    <col min="2" max="2" width="5" customWidth="1"/>
    <col min="3" max="10" width="9" style="1"/>
    <col min="11" max="11" width="13.625" style="1" customWidth="1"/>
    <col min="12" max="12" width="2.625" customWidth="1"/>
  </cols>
  <sheetData>
    <row r="1" spans="2:11" ht="17.25" thickBot="1"/>
    <row r="2" spans="2:11" ht="55.5" customHeight="1" thickTop="1">
      <c r="B2" s="482"/>
      <c r="C2" s="483"/>
      <c r="D2" s="483"/>
      <c r="E2" s="483"/>
      <c r="F2" s="483"/>
      <c r="G2" s="483"/>
      <c r="H2" s="483"/>
      <c r="I2" s="483"/>
      <c r="J2" s="483"/>
      <c r="K2" s="484"/>
    </row>
    <row r="3" spans="2:11">
      <c r="B3" s="485" t="s">
        <v>167</v>
      </c>
      <c r="C3" s="486"/>
      <c r="D3" s="486"/>
      <c r="E3" s="486"/>
      <c r="F3" s="486"/>
      <c r="G3" s="486"/>
      <c r="H3" s="486"/>
      <c r="I3" s="486"/>
      <c r="J3" s="486"/>
      <c r="K3" s="487"/>
    </row>
    <row r="4" spans="2:11">
      <c r="B4" s="108">
        <v>1</v>
      </c>
      <c r="C4" s="45" t="s">
        <v>168</v>
      </c>
      <c r="D4" s="45"/>
      <c r="E4" s="45"/>
      <c r="F4" s="45"/>
      <c r="G4" s="45"/>
      <c r="H4" s="486"/>
      <c r="I4" s="486"/>
      <c r="J4" s="486"/>
      <c r="K4" s="109" t="s">
        <v>169</v>
      </c>
    </row>
    <row r="5" spans="2:11">
      <c r="B5" s="110"/>
      <c r="C5" s="45" t="s">
        <v>170</v>
      </c>
      <c r="D5" s="45"/>
      <c r="E5" s="45"/>
      <c r="F5" s="45"/>
      <c r="G5" s="45"/>
      <c r="H5" s="486"/>
      <c r="I5" s="486"/>
      <c r="J5" s="486"/>
      <c r="K5" s="109" t="s">
        <v>169</v>
      </c>
    </row>
    <row r="6" spans="2:11">
      <c r="B6" s="110"/>
      <c r="C6" s="45" t="s">
        <v>171</v>
      </c>
      <c r="D6" s="488" t="s">
        <v>172</v>
      </c>
      <c r="E6" s="488"/>
      <c r="F6" s="488"/>
      <c r="G6" s="488"/>
      <c r="H6" s="488"/>
      <c r="I6" s="488"/>
      <c r="J6" s="488"/>
      <c r="K6" s="489"/>
    </row>
    <row r="7" spans="2:11">
      <c r="B7" s="110"/>
      <c r="C7" s="45"/>
      <c r="D7" s="488"/>
      <c r="E7" s="488"/>
      <c r="F7" s="488"/>
      <c r="G7" s="488"/>
      <c r="H7" s="488"/>
      <c r="I7" s="488"/>
      <c r="J7" s="488"/>
      <c r="K7" s="489"/>
    </row>
    <row r="8" spans="2:11">
      <c r="B8" s="110"/>
      <c r="C8" s="45" t="s">
        <v>173</v>
      </c>
      <c r="D8" s="45" t="s">
        <v>174</v>
      </c>
      <c r="E8" s="45"/>
      <c r="F8" s="45"/>
      <c r="G8" s="45"/>
      <c r="H8" s="45"/>
      <c r="I8" s="45"/>
      <c r="J8" s="45"/>
      <c r="K8" s="109"/>
    </row>
    <row r="9" spans="2:11">
      <c r="B9" s="110"/>
      <c r="C9" s="45" t="s">
        <v>173</v>
      </c>
      <c r="D9" s="45" t="s">
        <v>175</v>
      </c>
      <c r="E9" s="45"/>
      <c r="F9" s="45"/>
      <c r="G9" s="45"/>
      <c r="H9" s="45"/>
      <c r="I9" s="45"/>
      <c r="J9" s="45"/>
      <c r="K9" s="109"/>
    </row>
    <row r="10" spans="2:11">
      <c r="B10" s="110">
        <v>2</v>
      </c>
      <c r="C10" s="45" t="s">
        <v>176</v>
      </c>
      <c r="D10" s="45"/>
      <c r="E10" s="45"/>
      <c r="F10" s="45"/>
      <c r="G10" s="45"/>
      <c r="H10" s="45"/>
      <c r="I10" s="45"/>
      <c r="J10" s="45"/>
      <c r="K10" s="109"/>
    </row>
    <row r="11" spans="2:11">
      <c r="B11" s="110">
        <v>3</v>
      </c>
      <c r="C11" s="490" t="s">
        <v>177</v>
      </c>
      <c r="D11" s="490"/>
      <c r="E11" s="490"/>
      <c r="F11" s="490"/>
      <c r="G11" s="490"/>
      <c r="H11" s="490"/>
      <c r="I11" s="45"/>
      <c r="J11" s="45" t="s">
        <v>178</v>
      </c>
      <c r="K11" s="109"/>
    </row>
    <row r="12" spans="2:11">
      <c r="B12" s="110"/>
      <c r="C12" s="490" t="s">
        <v>179</v>
      </c>
      <c r="D12" s="490"/>
      <c r="E12" s="490"/>
      <c r="F12" s="490"/>
      <c r="G12" s="490"/>
      <c r="H12" s="490"/>
      <c r="I12" s="45"/>
      <c r="J12" s="45" t="s">
        <v>180</v>
      </c>
      <c r="K12" s="109"/>
    </row>
    <row r="13" spans="2:11">
      <c r="B13" s="110"/>
      <c r="C13" s="45" t="s">
        <v>181</v>
      </c>
      <c r="D13" s="45"/>
      <c r="E13" s="45"/>
      <c r="F13" s="45"/>
      <c r="G13" s="45"/>
      <c r="H13" s="45"/>
      <c r="I13" s="45"/>
      <c r="J13" s="45"/>
      <c r="K13" s="109"/>
    </row>
    <row r="14" spans="2:11">
      <c r="B14" s="110">
        <v>4</v>
      </c>
      <c r="C14" s="45" t="s">
        <v>182</v>
      </c>
      <c r="D14" s="45"/>
      <c r="E14" s="45"/>
      <c r="F14" s="45"/>
      <c r="G14" s="45"/>
      <c r="H14" s="45"/>
      <c r="I14" s="45"/>
      <c r="J14" s="45"/>
      <c r="K14" s="109"/>
    </row>
    <row r="15" spans="2:11">
      <c r="B15" s="110"/>
      <c r="C15" s="45" t="s">
        <v>183</v>
      </c>
      <c r="D15" s="45"/>
      <c r="E15" s="45"/>
      <c r="F15" s="45"/>
      <c r="G15" s="45"/>
      <c r="H15" s="45"/>
      <c r="I15" s="45"/>
      <c r="J15" s="45"/>
      <c r="K15" s="109"/>
    </row>
    <row r="16" spans="2:11">
      <c r="B16" s="110"/>
      <c r="C16" s="45" t="s">
        <v>184</v>
      </c>
      <c r="D16" s="45"/>
      <c r="E16" s="45"/>
      <c r="F16" s="45"/>
      <c r="G16" s="45"/>
      <c r="H16" s="45"/>
      <c r="I16" s="45"/>
      <c r="J16" s="45"/>
      <c r="K16" s="109"/>
    </row>
    <row r="17" spans="2:11">
      <c r="B17" s="110">
        <v>5</v>
      </c>
      <c r="C17" s="45" t="s">
        <v>185</v>
      </c>
      <c r="D17" s="45"/>
      <c r="E17" s="45"/>
      <c r="F17" s="45"/>
      <c r="G17" s="45"/>
      <c r="H17" s="45"/>
      <c r="I17" s="45"/>
      <c r="J17" s="45"/>
      <c r="K17" s="109"/>
    </row>
    <row r="18" spans="2:11">
      <c r="B18" s="110">
        <v>6</v>
      </c>
      <c r="C18" s="45" t="s">
        <v>186</v>
      </c>
      <c r="D18" s="45"/>
      <c r="E18" s="45"/>
      <c r="F18" s="45"/>
      <c r="G18" s="45"/>
      <c r="H18" s="45"/>
      <c r="I18" s="45"/>
      <c r="J18" s="45"/>
      <c r="K18" s="109"/>
    </row>
    <row r="19" spans="2:11">
      <c r="B19" s="110">
        <v>7</v>
      </c>
      <c r="C19" s="45" t="s">
        <v>187</v>
      </c>
      <c r="D19" s="45"/>
      <c r="E19" s="45"/>
      <c r="F19" s="45"/>
      <c r="G19" s="45"/>
      <c r="H19" s="45"/>
      <c r="I19" s="45"/>
      <c r="J19" s="45"/>
      <c r="K19" s="109"/>
    </row>
    <row r="20" spans="2:11">
      <c r="B20" s="110">
        <v>8</v>
      </c>
      <c r="C20" s="45" t="s">
        <v>188</v>
      </c>
      <c r="D20" s="45"/>
      <c r="E20" s="45"/>
      <c r="F20" s="45"/>
      <c r="G20" s="45"/>
      <c r="H20" s="45"/>
      <c r="I20" s="45"/>
      <c r="J20" s="45"/>
      <c r="K20" s="109"/>
    </row>
    <row r="21" spans="2:11">
      <c r="B21" s="110"/>
      <c r="C21" s="45"/>
      <c r="D21" s="45"/>
      <c r="E21" s="45"/>
      <c r="F21" s="45"/>
      <c r="G21" s="45"/>
      <c r="H21" s="45"/>
      <c r="I21" s="45"/>
      <c r="J21" s="45"/>
      <c r="K21" s="109"/>
    </row>
    <row r="22" spans="2:11">
      <c r="B22" s="110"/>
      <c r="C22" s="45"/>
      <c r="D22" s="45"/>
      <c r="E22" s="45"/>
      <c r="F22" s="45"/>
      <c r="G22" s="45"/>
      <c r="H22" s="45"/>
      <c r="I22" s="45"/>
      <c r="J22" s="45"/>
      <c r="K22" s="109"/>
    </row>
    <row r="23" spans="2:11">
      <c r="B23" s="485" t="s">
        <v>189</v>
      </c>
      <c r="C23" s="486"/>
      <c r="D23" s="486"/>
      <c r="E23" s="486"/>
      <c r="F23" s="486"/>
      <c r="G23" s="486"/>
      <c r="H23" s="486"/>
      <c r="I23" s="486"/>
      <c r="J23" s="486"/>
      <c r="K23" s="487"/>
    </row>
    <row r="24" spans="2:11">
      <c r="B24" s="110">
        <v>1</v>
      </c>
      <c r="C24" s="45" t="s">
        <v>190</v>
      </c>
      <c r="D24" s="45"/>
      <c r="E24" s="45"/>
      <c r="F24" s="45"/>
      <c r="G24" s="45"/>
      <c r="H24" s="45"/>
      <c r="I24" s="45"/>
      <c r="J24" s="45"/>
      <c r="K24" s="109"/>
    </row>
    <row r="25" spans="2:11">
      <c r="B25" s="110"/>
      <c r="C25" s="45" t="s">
        <v>191</v>
      </c>
      <c r="D25" s="45"/>
      <c r="E25" s="45"/>
      <c r="F25" s="45"/>
      <c r="G25" s="45"/>
      <c r="H25" s="45"/>
      <c r="I25" s="45"/>
      <c r="J25" s="45"/>
      <c r="K25" s="109"/>
    </row>
    <row r="26" spans="2:11">
      <c r="B26" s="110">
        <v>2</v>
      </c>
      <c r="C26" s="45" t="s">
        <v>192</v>
      </c>
      <c r="D26" s="45"/>
      <c r="E26" s="45"/>
      <c r="F26" s="45"/>
      <c r="G26" s="45"/>
      <c r="H26" s="45"/>
      <c r="I26" s="45"/>
      <c r="J26" s="45"/>
      <c r="K26" s="109"/>
    </row>
    <row r="27" spans="2:11">
      <c r="B27" s="110"/>
      <c r="C27" s="45" t="s">
        <v>193</v>
      </c>
      <c r="D27" s="45"/>
      <c r="E27" s="45"/>
      <c r="F27" s="45"/>
      <c r="G27" s="45"/>
      <c r="H27" s="45"/>
      <c r="I27" s="45"/>
      <c r="J27" s="45"/>
      <c r="K27" s="109"/>
    </row>
    <row r="28" spans="2:11">
      <c r="B28" s="110">
        <v>3</v>
      </c>
      <c r="C28" s="491" t="s">
        <v>194</v>
      </c>
      <c r="D28" s="491"/>
      <c r="E28" s="491"/>
      <c r="F28" s="491"/>
      <c r="G28" s="491"/>
      <c r="H28" s="491"/>
      <c r="I28" s="491"/>
      <c r="J28" s="491"/>
      <c r="K28" s="492"/>
    </row>
    <row r="29" spans="2:11">
      <c r="B29" s="110"/>
      <c r="C29" s="491"/>
      <c r="D29" s="491"/>
      <c r="E29" s="491"/>
      <c r="F29" s="491"/>
      <c r="G29" s="491"/>
      <c r="H29" s="491"/>
      <c r="I29" s="491"/>
      <c r="J29" s="491"/>
      <c r="K29" s="492"/>
    </row>
    <row r="30" spans="2:11">
      <c r="B30" s="110">
        <v>4</v>
      </c>
      <c r="C30" s="490" t="s">
        <v>195</v>
      </c>
      <c r="D30" s="490"/>
      <c r="E30" s="490"/>
      <c r="F30" s="490"/>
      <c r="G30" s="490"/>
      <c r="H30" s="490"/>
      <c r="I30" s="45"/>
      <c r="J30" s="45" t="s">
        <v>196</v>
      </c>
      <c r="K30" s="109"/>
    </row>
    <row r="31" spans="2:11">
      <c r="B31" s="110"/>
      <c r="C31" s="490" t="s">
        <v>197</v>
      </c>
      <c r="D31" s="490"/>
      <c r="E31" s="490"/>
      <c r="F31" s="490"/>
      <c r="G31" s="490"/>
      <c r="H31" s="490"/>
      <c r="I31" s="45"/>
      <c r="J31" s="45" t="s">
        <v>198</v>
      </c>
      <c r="K31" s="109"/>
    </row>
    <row r="32" spans="2:11">
      <c r="B32" s="110"/>
      <c r="C32" s="45" t="s">
        <v>199</v>
      </c>
      <c r="D32" s="45"/>
      <c r="E32" s="45"/>
      <c r="F32" s="45"/>
      <c r="G32" s="45"/>
      <c r="H32" s="45"/>
      <c r="I32" s="45"/>
      <c r="J32" s="45"/>
      <c r="K32" s="109"/>
    </row>
    <row r="33" spans="2:11">
      <c r="B33" s="110">
        <v>5</v>
      </c>
      <c r="C33" s="45" t="s">
        <v>200</v>
      </c>
      <c r="D33" s="45"/>
      <c r="E33" s="45"/>
      <c r="F33" s="45"/>
      <c r="G33" s="45"/>
      <c r="H33" s="45"/>
      <c r="I33" s="45"/>
      <c r="J33" s="45"/>
      <c r="K33" s="109"/>
    </row>
    <row r="34" spans="2:11">
      <c r="B34" s="110"/>
      <c r="C34" s="45" t="s">
        <v>201</v>
      </c>
      <c r="D34" s="45"/>
      <c r="E34" s="45"/>
      <c r="F34" s="45"/>
      <c r="G34" s="45"/>
      <c r="H34" s="45"/>
      <c r="I34" s="45"/>
      <c r="J34" s="45"/>
      <c r="K34" s="109"/>
    </row>
    <row r="35" spans="2:11">
      <c r="B35" s="110"/>
      <c r="C35" s="45" t="s">
        <v>202</v>
      </c>
      <c r="D35" s="45"/>
      <c r="E35" s="45"/>
      <c r="F35" s="45"/>
      <c r="G35" s="45"/>
      <c r="H35" s="45"/>
      <c r="I35" s="45"/>
      <c r="J35" s="45"/>
      <c r="K35" s="109"/>
    </row>
    <row r="36" spans="2:11">
      <c r="B36" s="110">
        <v>6</v>
      </c>
      <c r="C36" s="45" t="s">
        <v>203</v>
      </c>
      <c r="D36" s="45"/>
      <c r="E36" s="45"/>
      <c r="F36" s="45"/>
      <c r="G36" s="45"/>
      <c r="H36" s="45"/>
      <c r="I36" s="45"/>
      <c r="J36" s="45"/>
      <c r="K36" s="109"/>
    </row>
    <row r="37" spans="2:11">
      <c r="B37" s="110"/>
      <c r="C37" s="45" t="s">
        <v>204</v>
      </c>
      <c r="D37" s="45"/>
      <c r="E37" s="45"/>
      <c r="F37" s="45"/>
      <c r="G37" s="45"/>
      <c r="H37" s="45"/>
      <c r="I37" s="45"/>
      <c r="J37" s="45"/>
      <c r="K37" s="109"/>
    </row>
    <row r="38" spans="2:11">
      <c r="B38" s="110">
        <v>7</v>
      </c>
      <c r="C38" s="491" t="s">
        <v>205</v>
      </c>
      <c r="D38" s="491"/>
      <c r="E38" s="491"/>
      <c r="F38" s="491"/>
      <c r="G38" s="491"/>
      <c r="H38" s="491"/>
      <c r="I38" s="491"/>
      <c r="J38" s="491"/>
      <c r="K38" s="492"/>
    </row>
    <row r="39" spans="2:11">
      <c r="B39" s="110"/>
      <c r="C39" s="491"/>
      <c r="D39" s="491"/>
      <c r="E39" s="491"/>
      <c r="F39" s="491"/>
      <c r="G39" s="491"/>
      <c r="H39" s="491"/>
      <c r="I39" s="491"/>
      <c r="J39" s="491"/>
      <c r="K39" s="492"/>
    </row>
    <row r="40" spans="2:11">
      <c r="B40" s="110">
        <v>8</v>
      </c>
      <c r="C40" s="45" t="s">
        <v>206</v>
      </c>
      <c r="D40" s="45"/>
      <c r="E40" s="45"/>
      <c r="F40" s="45"/>
      <c r="G40" s="45"/>
      <c r="H40" s="45"/>
      <c r="I40" s="45"/>
      <c r="J40" s="45"/>
      <c r="K40" s="109"/>
    </row>
    <row r="41" spans="2:11">
      <c r="B41" s="110">
        <v>9</v>
      </c>
      <c r="C41" s="45" t="s">
        <v>207</v>
      </c>
      <c r="D41" s="45"/>
      <c r="E41" s="45"/>
      <c r="F41" s="45"/>
      <c r="G41" s="45"/>
      <c r="H41" s="45"/>
      <c r="I41" s="45"/>
      <c r="J41" s="45"/>
      <c r="K41" s="109"/>
    </row>
    <row r="42" spans="2:11">
      <c r="B42" s="110"/>
      <c r="C42" s="45"/>
      <c r="D42" s="45"/>
      <c r="E42" s="45"/>
      <c r="F42" s="45"/>
      <c r="G42" s="45"/>
      <c r="H42" s="45"/>
      <c r="I42" s="45"/>
      <c r="J42" s="45"/>
      <c r="K42" s="109"/>
    </row>
    <row r="43" spans="2:11">
      <c r="B43" s="110" t="s">
        <v>208</v>
      </c>
      <c r="C43" s="45"/>
      <c r="D43" s="45"/>
      <c r="E43" s="45"/>
      <c r="F43" s="45"/>
      <c r="G43" s="45"/>
      <c r="H43" s="45"/>
      <c r="I43" s="45"/>
      <c r="J43" s="45"/>
      <c r="K43" s="109"/>
    </row>
    <row r="44" spans="2:11">
      <c r="B44" s="110"/>
      <c r="C44" s="45"/>
      <c r="D44" s="45"/>
      <c r="E44" s="45"/>
      <c r="F44" s="45"/>
      <c r="G44" s="45"/>
      <c r="H44" s="45"/>
      <c r="I44" s="45"/>
      <c r="J44" s="45"/>
      <c r="K44" s="109"/>
    </row>
    <row r="45" spans="2:11">
      <c r="B45" s="110"/>
      <c r="C45" s="45"/>
      <c r="D45" s="45"/>
      <c r="E45" s="45"/>
      <c r="F45" s="45"/>
      <c r="G45" s="45"/>
      <c r="H45" s="45"/>
      <c r="I45" s="45"/>
      <c r="J45" s="45"/>
      <c r="K45" s="109"/>
    </row>
    <row r="46" spans="2:11">
      <c r="B46" s="110"/>
      <c r="C46" s="45"/>
      <c r="D46" s="45"/>
      <c r="E46" s="45"/>
      <c r="F46" s="45"/>
      <c r="G46" s="45"/>
      <c r="H46" s="45"/>
      <c r="I46" s="45"/>
      <c r="J46" s="45"/>
      <c r="K46" s="109"/>
    </row>
    <row r="47" spans="2:11" ht="17.25" thickBot="1">
      <c r="B47" s="101"/>
      <c r="C47" s="112"/>
      <c r="D47" s="112"/>
      <c r="E47" s="112"/>
      <c r="F47" s="112"/>
      <c r="G47" s="112"/>
      <c r="H47" s="112"/>
      <c r="I47" s="112"/>
      <c r="J47" s="112"/>
      <c r="K47" s="113"/>
    </row>
    <row r="48" spans="2:11" ht="17.25" thickTop="1"/>
  </sheetData>
  <mergeCells count="12">
    <mergeCell ref="C12:H12"/>
    <mergeCell ref="B23:K23"/>
    <mergeCell ref="C28:K29"/>
    <mergeCell ref="C30:H30"/>
    <mergeCell ref="C31:H31"/>
    <mergeCell ref="C38:K39"/>
    <mergeCell ref="B2:K2"/>
    <mergeCell ref="B3:K3"/>
    <mergeCell ref="H4:J4"/>
    <mergeCell ref="H5:J5"/>
    <mergeCell ref="D6:K7"/>
    <mergeCell ref="C11:H11"/>
  </mergeCells>
  <phoneticPr fontId="2" type="noConversion"/>
  <pageMargins left="0.55118110236220474" right="0" top="0.39370078740157483" bottom="0.19685039370078741" header="0.51181102362204722" footer="0.51181102362204722"/>
  <pageSetup paperSize="9"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Y61"/>
  <sheetViews>
    <sheetView tabSelected="1" workbookViewId="0">
      <selection activeCell="B59" sqref="B59"/>
    </sheetView>
  </sheetViews>
  <sheetFormatPr defaultRowHeight="16.5"/>
  <cols>
    <col min="1" max="1" width="12.5" customWidth="1"/>
    <col min="2" max="2" width="15.75" customWidth="1"/>
    <col min="3" max="3" width="16.625" customWidth="1"/>
    <col min="4" max="4" width="10.25" customWidth="1"/>
    <col min="5" max="5" width="8.625" customWidth="1"/>
    <col min="6" max="6" width="5.875" customWidth="1"/>
    <col min="7" max="7" width="8.375" bestFit="1" customWidth="1"/>
    <col min="8" max="8" width="6.5" bestFit="1" customWidth="1"/>
    <col min="9" max="9" width="4.75" bestFit="1" customWidth="1"/>
    <col min="10" max="10" width="6.75" bestFit="1" customWidth="1"/>
    <col min="11" max="11" width="8.375" bestFit="1" customWidth="1"/>
    <col min="12" max="12" width="5.75" bestFit="1" customWidth="1"/>
    <col min="13" max="13" width="6.75" bestFit="1" customWidth="1"/>
    <col min="14" max="14" width="4.25" bestFit="1" customWidth="1"/>
    <col min="15" max="15" width="6.75" bestFit="1" customWidth="1"/>
    <col min="16" max="16" width="5.75" bestFit="1" customWidth="1"/>
    <col min="17" max="17" width="8.375" bestFit="1" customWidth="1"/>
    <col min="18" max="18" width="7" customWidth="1"/>
    <col min="19" max="19" width="3.125" bestFit="1" customWidth="1"/>
    <col min="20" max="20" width="5.125" bestFit="1" customWidth="1"/>
    <col min="21" max="21" width="7.5" bestFit="1" customWidth="1"/>
    <col min="22" max="22" width="8" bestFit="1" customWidth="1"/>
    <col min="23" max="23" width="3.125" bestFit="1" customWidth="1"/>
    <col min="24" max="24" width="6.75" bestFit="1" customWidth="1"/>
    <col min="25" max="25" width="3.125" bestFit="1" customWidth="1"/>
    <col min="26" max="26" width="4.25" bestFit="1" customWidth="1"/>
  </cols>
  <sheetData>
    <row r="1" spans="1:8">
      <c r="A1" t="s">
        <v>370</v>
      </c>
      <c r="B1" s="6" t="s">
        <v>371</v>
      </c>
      <c r="C1" s="150" t="s">
        <v>372</v>
      </c>
      <c r="D1" s="650" t="s">
        <v>373</v>
      </c>
      <c r="E1" s="150" t="s">
        <v>374</v>
      </c>
      <c r="F1" s="2"/>
    </row>
    <row r="2" spans="1:8">
      <c r="A2" t="s">
        <v>375</v>
      </c>
      <c r="B2" s="6" t="s">
        <v>376</v>
      </c>
    </row>
    <row r="3" spans="1:8">
      <c r="A3" t="s">
        <v>377</v>
      </c>
      <c r="B3" s="2" t="s">
        <v>378</v>
      </c>
      <c r="C3" s="9" t="s">
        <v>379</v>
      </c>
      <c r="D3" s="135" t="s">
        <v>380</v>
      </c>
      <c r="E3" s="135"/>
    </row>
    <row r="4" spans="1:8">
      <c r="A4" t="s">
        <v>381</v>
      </c>
      <c r="B4" s="2" t="s">
        <v>382</v>
      </c>
      <c r="C4" s="2" t="s">
        <v>383</v>
      </c>
      <c r="D4" s="2" t="s">
        <v>384</v>
      </c>
      <c r="E4" s="136"/>
    </row>
    <row r="5" spans="1:8">
      <c r="A5" t="s">
        <v>385</v>
      </c>
      <c r="B5" s="6" t="s">
        <v>386</v>
      </c>
    </row>
    <row r="6" spans="1:8">
      <c r="A6" t="s">
        <v>387</v>
      </c>
      <c r="B6" s="6" t="s">
        <v>388</v>
      </c>
    </row>
    <row r="7" spans="1:8">
      <c r="A7" s="9" t="s">
        <v>389</v>
      </c>
      <c r="B7" s="151" t="s">
        <v>390</v>
      </c>
      <c r="C7" s="135" t="s">
        <v>391</v>
      </c>
    </row>
    <row r="8" spans="1:8">
      <c r="A8" t="s">
        <v>392</v>
      </c>
      <c r="B8" s="6" t="s">
        <v>393</v>
      </c>
    </row>
    <row r="9" spans="1:8">
      <c r="A9" t="s">
        <v>394</v>
      </c>
      <c r="B9" s="6" t="s">
        <v>395</v>
      </c>
    </row>
    <row r="10" spans="1:8">
      <c r="A10" t="s">
        <v>396</v>
      </c>
      <c r="B10" s="6">
        <v>7588</v>
      </c>
      <c r="C10" t="s">
        <v>397</v>
      </c>
      <c r="H10" s="9"/>
    </row>
    <row r="11" spans="1:8">
      <c r="A11" t="s">
        <v>398</v>
      </c>
      <c r="B11" s="127">
        <v>24015</v>
      </c>
      <c r="C11" s="7">
        <f>B11</f>
        <v>24015</v>
      </c>
      <c r="D11" t="s">
        <v>399</v>
      </c>
      <c r="E11" s="5">
        <f ca="1">(TODAY()-B11)/365</f>
        <v>46.87945205479452</v>
      </c>
      <c r="F11" t="s">
        <v>6</v>
      </c>
    </row>
    <row r="12" spans="1:8">
      <c r="A12" t="s">
        <v>400</v>
      </c>
      <c r="B12" s="2" t="s">
        <v>401</v>
      </c>
    </row>
    <row r="13" spans="1:8">
      <c r="A13" t="s">
        <v>8</v>
      </c>
      <c r="B13" s="6" t="s">
        <v>402</v>
      </c>
      <c r="C13" s="9"/>
      <c r="D13" t="s">
        <v>249</v>
      </c>
      <c r="E13" s="2" t="s">
        <v>403</v>
      </c>
      <c r="F13" s="9"/>
    </row>
    <row r="14" spans="1:8">
      <c r="A14" t="s">
        <v>9</v>
      </c>
      <c r="B14" s="128" t="s">
        <v>404</v>
      </c>
      <c r="C14" s="9"/>
    </row>
    <row r="15" spans="1:8">
      <c r="A15" t="s">
        <v>10</v>
      </c>
      <c r="B15" s="128" t="s">
        <v>295</v>
      </c>
      <c r="C15" s="9"/>
      <c r="F15" s="9"/>
    </row>
    <row r="16" spans="1:8">
      <c r="A16" t="s">
        <v>11</v>
      </c>
      <c r="B16" s="128" t="s">
        <v>295</v>
      </c>
      <c r="C16" s="9" t="s">
        <v>12</v>
      </c>
      <c r="F16" s="9"/>
    </row>
    <row r="17" spans="1:25">
      <c r="A17" t="s">
        <v>13</v>
      </c>
      <c r="B17" s="128" t="s">
        <v>295</v>
      </c>
      <c r="C17" s="9"/>
      <c r="F17" s="9"/>
    </row>
    <row r="18" spans="1:25">
      <c r="A18" t="s">
        <v>14</v>
      </c>
      <c r="B18" s="128" t="s">
        <v>295</v>
      </c>
      <c r="C18" s="9"/>
      <c r="F18" s="9"/>
    </row>
    <row r="19" spans="1:25">
      <c r="A19" t="s">
        <v>15</v>
      </c>
      <c r="B19" s="128" t="s">
        <v>295</v>
      </c>
      <c r="C19" s="9"/>
      <c r="F19" s="9"/>
    </row>
    <row r="20" spans="1:25">
      <c r="A20" t="s">
        <v>18</v>
      </c>
      <c r="B20" s="128" t="s">
        <v>295</v>
      </c>
      <c r="C20" s="10" t="s">
        <v>152</v>
      </c>
      <c r="D20" s="650" t="s">
        <v>295</v>
      </c>
      <c r="E20" t="s">
        <v>17</v>
      </c>
      <c r="F20" s="9"/>
    </row>
    <row r="21" spans="1:25">
      <c r="A21" t="s">
        <v>20</v>
      </c>
      <c r="B21" s="128" t="s">
        <v>295</v>
      </c>
      <c r="C21" s="10"/>
      <c r="D21" s="9"/>
      <c r="F21" s="9"/>
    </row>
    <row r="22" spans="1:25" s="9" customFormat="1" ht="33">
      <c r="A22" s="9" t="s">
        <v>21</v>
      </c>
      <c r="B22" s="63" t="s">
        <v>405</v>
      </c>
      <c r="C22" s="10"/>
    </row>
    <row r="23" spans="1:25" s="9" customFormat="1">
      <c r="A23" s="9" t="s">
        <v>22</v>
      </c>
      <c r="B23" s="6" t="s">
        <v>253</v>
      </c>
      <c r="C23" s="10"/>
    </row>
    <row r="24" spans="1:25" s="9" customFormat="1">
      <c r="A24" s="9" t="s">
        <v>23</v>
      </c>
      <c r="B24" s="651" t="s">
        <v>295</v>
      </c>
      <c r="C24" s="10"/>
    </row>
    <row r="25" spans="1:25" s="9" customFormat="1">
      <c r="A25" s="9" t="s">
        <v>294</v>
      </c>
      <c r="B25" s="651" t="s">
        <v>297</v>
      </c>
      <c r="C25" s="10"/>
    </row>
    <row r="26" spans="1:25">
      <c r="A26" t="s">
        <v>153</v>
      </c>
      <c r="B26" s="6" t="s">
        <v>298</v>
      </c>
      <c r="L26" s="171"/>
    </row>
    <row r="27" spans="1:25" s="9" customFormat="1">
      <c r="A27" s="9" t="s">
        <v>154</v>
      </c>
      <c r="B27" s="128" t="s">
        <v>295</v>
      </c>
      <c r="C27" s="10"/>
    </row>
    <row r="28" spans="1:25" s="9" customFormat="1">
      <c r="A28" s="9" t="s">
        <v>271</v>
      </c>
      <c r="B28" s="128" t="s">
        <v>406</v>
      </c>
      <c r="C28" s="10"/>
    </row>
    <row r="29" spans="1:25" s="9" customFormat="1">
      <c r="C29" s="10"/>
    </row>
    <row r="30" spans="1:25" s="13" customFormat="1" ht="19.5" customHeight="1">
      <c r="A30" s="172" t="s">
        <v>53</v>
      </c>
      <c r="B30" s="11" t="s">
        <v>37</v>
      </c>
      <c r="C30" s="12" t="s">
        <v>411</v>
      </c>
      <c r="D30" s="13" t="s">
        <v>7</v>
      </c>
      <c r="E30" s="142">
        <v>32</v>
      </c>
      <c r="F30" s="13" t="s">
        <v>254</v>
      </c>
      <c r="G30" s="13" t="s">
        <v>255</v>
      </c>
      <c r="H30" s="14">
        <v>1200</v>
      </c>
      <c r="I30" s="13" t="s">
        <v>256</v>
      </c>
      <c r="J30" s="15">
        <v>70</v>
      </c>
      <c r="K30" s="13" t="s">
        <v>257</v>
      </c>
      <c r="L30" s="15" t="s">
        <v>416</v>
      </c>
      <c r="M30" s="13" t="s">
        <v>244</v>
      </c>
      <c r="N30" s="120">
        <v>0.75</v>
      </c>
      <c r="O30" s="13" t="s">
        <v>245</v>
      </c>
      <c r="P30" s="120">
        <v>8</v>
      </c>
      <c r="Q30" s="13" t="s">
        <v>243</v>
      </c>
      <c r="R30" s="144">
        <f>E30*0.3025</f>
        <v>9.68</v>
      </c>
      <c r="S30" s="13" t="s">
        <v>40</v>
      </c>
      <c r="T30" s="16" t="s">
        <v>41</v>
      </c>
      <c r="U30" s="146">
        <f>E30*J30/H30</f>
        <v>1.8666666666666667</v>
      </c>
      <c r="V30" s="13" t="s">
        <v>39</v>
      </c>
      <c r="W30" s="13" t="s">
        <v>42</v>
      </c>
      <c r="X30" s="146">
        <f>U30*0.3025</f>
        <v>0.56466666666666665</v>
      </c>
      <c r="Y30" s="13" t="s">
        <v>40</v>
      </c>
    </row>
    <row r="31" spans="1:25" s="13" customFormat="1" ht="14.25">
      <c r="A31" s="170"/>
      <c r="B31" s="11" t="s">
        <v>37</v>
      </c>
      <c r="C31" s="12" t="s">
        <v>412</v>
      </c>
      <c r="D31" s="13" t="s">
        <v>7</v>
      </c>
      <c r="E31" s="142">
        <v>985</v>
      </c>
      <c r="F31" s="13" t="s">
        <v>254</v>
      </c>
      <c r="G31" s="13" t="s">
        <v>255</v>
      </c>
      <c r="H31" s="14">
        <v>10000</v>
      </c>
      <c r="I31" s="13" t="s">
        <v>256</v>
      </c>
      <c r="J31" s="15">
        <f>290+290</f>
        <v>580</v>
      </c>
      <c r="K31" s="13" t="s">
        <v>257</v>
      </c>
      <c r="L31" s="15" t="s">
        <v>416</v>
      </c>
      <c r="M31" s="13" t="s">
        <v>244</v>
      </c>
      <c r="N31" s="120">
        <v>0.75</v>
      </c>
      <c r="O31" s="13" t="s">
        <v>245</v>
      </c>
      <c r="P31" s="120">
        <v>8</v>
      </c>
      <c r="Q31" s="13" t="s">
        <v>38</v>
      </c>
      <c r="R31" s="144">
        <f>E31*0.3025</f>
        <v>297.96249999999998</v>
      </c>
      <c r="S31" s="13" t="s">
        <v>40</v>
      </c>
      <c r="T31" s="16" t="s">
        <v>41</v>
      </c>
      <c r="U31" s="146">
        <f>E31*J31/H31</f>
        <v>57.13</v>
      </c>
      <c r="V31" s="13" t="s">
        <v>39</v>
      </c>
      <c r="W31" s="13" t="s">
        <v>42</v>
      </c>
      <c r="X31" s="146">
        <f>U31*0.3025</f>
        <v>17.281825000000001</v>
      </c>
      <c r="Y31" s="13" t="s">
        <v>40</v>
      </c>
    </row>
    <row r="32" spans="1:25" s="13" customFormat="1" ht="14.25">
      <c r="A32" s="170"/>
      <c r="B32" s="11" t="s">
        <v>37</v>
      </c>
      <c r="C32" s="12" t="s">
        <v>413</v>
      </c>
      <c r="D32" s="13" t="s">
        <v>7</v>
      </c>
      <c r="E32" s="142">
        <v>26</v>
      </c>
      <c r="F32" s="13" t="s">
        <v>254</v>
      </c>
      <c r="G32" s="13" t="s">
        <v>255</v>
      </c>
      <c r="H32" s="14">
        <v>10000</v>
      </c>
      <c r="I32" s="13" t="s">
        <v>256</v>
      </c>
      <c r="J32" s="15">
        <v>580</v>
      </c>
      <c r="K32" s="13" t="s">
        <v>257</v>
      </c>
      <c r="L32" s="15" t="s">
        <v>416</v>
      </c>
      <c r="M32" s="13" t="s">
        <v>244</v>
      </c>
      <c r="N32" s="120">
        <v>0.75</v>
      </c>
      <c r="O32" s="13" t="s">
        <v>245</v>
      </c>
      <c r="P32" s="120">
        <v>8</v>
      </c>
      <c r="Q32" s="13" t="s">
        <v>38</v>
      </c>
      <c r="R32" s="144">
        <f>E32*0.3025</f>
        <v>7.8650000000000002</v>
      </c>
      <c r="S32" s="13" t="s">
        <v>40</v>
      </c>
      <c r="T32" s="16" t="s">
        <v>41</v>
      </c>
      <c r="U32" s="146">
        <f>E32*J32/H32</f>
        <v>1.508</v>
      </c>
      <c r="V32" s="13" t="s">
        <v>39</v>
      </c>
      <c r="W32" s="13" t="s">
        <v>42</v>
      </c>
      <c r="X32" s="146">
        <f>U32*0.3025</f>
        <v>0.45616999999999996</v>
      </c>
      <c r="Y32" s="13" t="s">
        <v>40</v>
      </c>
    </row>
    <row r="33" spans="1:25" s="13" customFormat="1" ht="14.25">
      <c r="A33" s="170"/>
      <c r="B33" s="11" t="s">
        <v>359</v>
      </c>
      <c r="C33" s="12" t="s">
        <v>414</v>
      </c>
      <c r="D33" s="13" t="s">
        <v>360</v>
      </c>
      <c r="E33" s="142">
        <v>37</v>
      </c>
      <c r="F33" s="13" t="s">
        <v>361</v>
      </c>
      <c r="G33" s="13" t="s">
        <v>362</v>
      </c>
      <c r="H33" s="14">
        <v>10000</v>
      </c>
      <c r="I33" s="13" t="s">
        <v>363</v>
      </c>
      <c r="J33" s="15">
        <v>580</v>
      </c>
      <c r="K33" s="13" t="s">
        <v>364</v>
      </c>
      <c r="L33" s="15" t="s">
        <v>416</v>
      </c>
      <c r="M33" s="13" t="s">
        <v>365</v>
      </c>
      <c r="N33" s="120">
        <v>0.75</v>
      </c>
      <c r="O33" s="13" t="s">
        <v>366</v>
      </c>
      <c r="P33" s="120">
        <v>8</v>
      </c>
      <c r="Q33" s="13" t="s">
        <v>360</v>
      </c>
      <c r="R33" s="144">
        <f>E33*0.3025</f>
        <v>11.192499999999999</v>
      </c>
      <c r="S33" s="13" t="s">
        <v>345</v>
      </c>
      <c r="T33" s="16" t="s">
        <v>367</v>
      </c>
      <c r="U33" s="146">
        <f>E33*J33/H33</f>
        <v>2.1459999999999999</v>
      </c>
      <c r="V33" s="13" t="s">
        <v>361</v>
      </c>
      <c r="W33" s="13" t="s">
        <v>368</v>
      </c>
      <c r="X33" s="146">
        <f>U33*0.3025</f>
        <v>0.64916499999999999</v>
      </c>
      <c r="Y33" s="13" t="s">
        <v>345</v>
      </c>
    </row>
    <row r="34" spans="1:25" s="13" customFormat="1" ht="14.25">
      <c r="A34" s="161"/>
      <c r="B34" s="11" t="s">
        <v>359</v>
      </c>
      <c r="C34" s="12" t="s">
        <v>415</v>
      </c>
      <c r="D34" s="13" t="s">
        <v>360</v>
      </c>
      <c r="E34" s="142">
        <v>206</v>
      </c>
      <c r="F34" s="13" t="s">
        <v>361</v>
      </c>
      <c r="G34" s="13" t="s">
        <v>362</v>
      </c>
      <c r="H34" s="14">
        <v>10000</v>
      </c>
      <c r="I34" s="13" t="s">
        <v>363</v>
      </c>
      <c r="J34" s="15">
        <v>580</v>
      </c>
      <c r="K34" s="13" t="s">
        <v>364</v>
      </c>
      <c r="L34" s="15" t="s">
        <v>416</v>
      </c>
      <c r="M34" s="13" t="s">
        <v>365</v>
      </c>
      <c r="N34" s="120">
        <v>0.75</v>
      </c>
      <c r="O34" s="13" t="s">
        <v>366</v>
      </c>
      <c r="P34" s="120">
        <v>8</v>
      </c>
      <c r="Q34" s="13" t="s">
        <v>360</v>
      </c>
      <c r="R34" s="144">
        <f>E34*0.3025</f>
        <v>62.314999999999998</v>
      </c>
      <c r="S34" s="13" t="s">
        <v>345</v>
      </c>
      <c r="T34" s="16" t="s">
        <v>367</v>
      </c>
      <c r="U34" s="146">
        <f>E34*J34/H34</f>
        <v>11.948</v>
      </c>
      <c r="V34" s="13" t="s">
        <v>361</v>
      </c>
      <c r="W34" s="13" t="s">
        <v>368</v>
      </c>
      <c r="X34" s="146">
        <f>U34*0.3025</f>
        <v>3.6142699999999999</v>
      </c>
      <c r="Y34" s="13" t="s">
        <v>345</v>
      </c>
    </row>
    <row r="35" spans="1:25" s="13" customFormat="1">
      <c r="A35" s="1"/>
      <c r="B35" s="496" t="s">
        <v>369</v>
      </c>
      <c r="C35" s="496"/>
      <c r="D35" s="62"/>
      <c r="E35" s="143">
        <f>SUM(E31:E34)</f>
        <v>1254</v>
      </c>
      <c r="F35" s="13" t="s">
        <v>361</v>
      </c>
      <c r="G35" s="62"/>
      <c r="H35" s="62"/>
      <c r="I35" s="62"/>
      <c r="J35" s="62"/>
      <c r="K35" s="62"/>
      <c r="L35" s="62"/>
      <c r="M35" s="62"/>
      <c r="N35" s="62"/>
      <c r="O35" s="62"/>
      <c r="Q35" s="62"/>
      <c r="R35" s="145">
        <f>SUM(R31:R34)</f>
        <v>379.33499999999998</v>
      </c>
      <c r="S35" s="13" t="s">
        <v>345</v>
      </c>
      <c r="T35" s="16" t="s">
        <v>367</v>
      </c>
      <c r="U35" s="147">
        <f>SUM(U31:U34)</f>
        <v>72.731999999999999</v>
      </c>
      <c r="V35" s="13" t="s">
        <v>361</v>
      </c>
      <c r="W35" s="13" t="s">
        <v>368</v>
      </c>
      <c r="X35" s="148">
        <f>SUM(X31:X34)</f>
        <v>22.001430000000003</v>
      </c>
      <c r="Y35" s="13" t="s">
        <v>345</v>
      </c>
    </row>
    <row r="36" spans="1:25" s="13" customFormat="1" ht="14.25">
      <c r="A36" s="161"/>
    </row>
    <row r="37" spans="1:25">
      <c r="A37" s="1"/>
      <c r="P37" s="93"/>
    </row>
    <row r="38" spans="1:25">
      <c r="A38" s="495" t="s">
        <v>0</v>
      </c>
      <c r="B38" s="44" t="s">
        <v>74</v>
      </c>
      <c r="C38" s="12" t="s">
        <v>409</v>
      </c>
      <c r="G38" s="149" t="s">
        <v>296</v>
      </c>
      <c r="P38" s="93"/>
    </row>
    <row r="39" spans="1:25">
      <c r="A39" s="495"/>
      <c r="B39" s="2" t="s">
        <v>299</v>
      </c>
      <c r="C39" s="138">
        <v>42.74</v>
      </c>
      <c r="D39" s="8" t="s">
        <v>2</v>
      </c>
      <c r="E39" s="140">
        <f t="shared" ref="E39:E45" si="0">C39*0.3025</f>
        <v>12.928850000000001</v>
      </c>
      <c r="F39" t="s">
        <v>3</v>
      </c>
      <c r="G39" s="153" t="s">
        <v>259</v>
      </c>
      <c r="J39">
        <f>45000*0.22</f>
        <v>9900</v>
      </c>
    </row>
    <row r="40" spans="1:25">
      <c r="A40" s="495"/>
      <c r="B40" s="2" t="s">
        <v>407</v>
      </c>
      <c r="C40" s="138">
        <v>57.58</v>
      </c>
      <c r="D40" s="8" t="s">
        <v>2</v>
      </c>
      <c r="E40" s="140">
        <f t="shared" si="0"/>
        <v>17.417949999999998</v>
      </c>
      <c r="F40" t="s">
        <v>3</v>
      </c>
      <c r="G40" s="153" t="s">
        <v>287</v>
      </c>
      <c r="J40">
        <v>8000</v>
      </c>
    </row>
    <row r="41" spans="1:25">
      <c r="A41" s="495"/>
      <c r="B41" s="2" t="s">
        <v>408</v>
      </c>
      <c r="C41" s="138">
        <v>14.84</v>
      </c>
      <c r="D41" s="8" t="s">
        <v>2</v>
      </c>
      <c r="E41" s="140">
        <f t="shared" si="0"/>
        <v>4.4890999999999996</v>
      </c>
      <c r="F41" t="s">
        <v>3</v>
      </c>
      <c r="G41" s="153" t="s">
        <v>286</v>
      </c>
      <c r="J41">
        <f>45000-9900-8000</f>
        <v>27100</v>
      </c>
    </row>
    <row r="42" spans="1:25">
      <c r="A42" s="495"/>
      <c r="B42" s="2" t="s">
        <v>410</v>
      </c>
      <c r="C42" s="138">
        <v>0</v>
      </c>
      <c r="D42" s="8" t="s">
        <v>2</v>
      </c>
      <c r="E42" s="141">
        <f t="shared" si="0"/>
        <v>0</v>
      </c>
      <c r="F42" t="s">
        <v>3</v>
      </c>
      <c r="G42" s="153" t="s">
        <v>288</v>
      </c>
      <c r="J42">
        <f>27100*0.05</f>
        <v>1355</v>
      </c>
    </row>
    <row r="43" spans="1:25">
      <c r="A43" s="495"/>
      <c r="B43" s="2" t="s">
        <v>410</v>
      </c>
      <c r="C43" s="138">
        <v>0</v>
      </c>
      <c r="D43" s="8" t="s">
        <v>2</v>
      </c>
      <c r="E43" s="140">
        <f t="shared" si="0"/>
        <v>0</v>
      </c>
      <c r="F43" t="s">
        <v>3</v>
      </c>
      <c r="G43" s="153" t="s">
        <v>289</v>
      </c>
      <c r="J43">
        <f>J41*0.95</f>
        <v>25745</v>
      </c>
    </row>
    <row r="44" spans="1:25">
      <c r="A44" s="495"/>
      <c r="B44" s="2" t="s">
        <v>410</v>
      </c>
      <c r="C44" s="138">
        <v>0</v>
      </c>
      <c r="D44" s="8" t="s">
        <v>2</v>
      </c>
      <c r="E44" s="140">
        <f t="shared" si="0"/>
        <v>0</v>
      </c>
      <c r="F44" t="s">
        <v>3</v>
      </c>
      <c r="G44" s="153" t="s">
        <v>290</v>
      </c>
    </row>
    <row r="45" spans="1:25">
      <c r="A45" s="495"/>
      <c r="B45" s="2" t="s">
        <v>410</v>
      </c>
      <c r="C45" s="138">
        <v>0</v>
      </c>
      <c r="D45" s="8" t="s">
        <v>2</v>
      </c>
      <c r="E45" s="140">
        <f t="shared" si="0"/>
        <v>0</v>
      </c>
      <c r="F45" t="s">
        <v>3</v>
      </c>
      <c r="G45" s="153" t="s">
        <v>291</v>
      </c>
    </row>
    <row r="46" spans="1:25">
      <c r="A46" s="495"/>
      <c r="B46" t="s">
        <v>1</v>
      </c>
      <c r="C46" s="139">
        <f>SUM(C39:C45)</f>
        <v>115.16</v>
      </c>
      <c r="D46" s="8" t="s">
        <v>2</v>
      </c>
      <c r="E46" s="140">
        <f>SUM(E39:E45)</f>
        <v>34.835899999999995</v>
      </c>
      <c r="F46" t="s">
        <v>3</v>
      </c>
    </row>
    <row r="47" spans="1:25">
      <c r="A47" s="61"/>
      <c r="C47" s="3"/>
      <c r="D47" s="8"/>
      <c r="E47" s="4"/>
    </row>
    <row r="48" spans="1:25">
      <c r="A48" s="60" t="s">
        <v>60</v>
      </c>
      <c r="B48" s="6" t="s">
        <v>54</v>
      </c>
      <c r="C48" s="3"/>
      <c r="D48" s="8"/>
      <c r="E48" s="4"/>
    </row>
    <row r="50" spans="1:25" s="49" customFormat="1">
      <c r="A50" s="493" t="s">
        <v>25</v>
      </c>
      <c r="B50" s="47" t="s">
        <v>24</v>
      </c>
      <c r="C50" s="51" t="s">
        <v>54</v>
      </c>
      <c r="D50" s="47" t="s">
        <v>43</v>
      </c>
      <c r="E50" s="51" t="s">
        <v>302</v>
      </c>
      <c r="F50" s="47" t="s">
        <v>4</v>
      </c>
      <c r="H50" s="48"/>
      <c r="J50" s="47"/>
      <c r="K50" s="47"/>
      <c r="L50" s="47"/>
      <c r="N50" s="47"/>
      <c r="O50" s="47"/>
      <c r="P50" s="47"/>
      <c r="R50" s="50"/>
      <c r="S50" s="50"/>
      <c r="T50" s="50"/>
      <c r="U50" s="50"/>
      <c r="W50" s="48"/>
      <c r="X50" s="48"/>
      <c r="Y50" s="48"/>
    </row>
    <row r="51" spans="1:25" s="49" customFormat="1">
      <c r="A51" s="493"/>
      <c r="B51" s="47" t="s">
        <v>55</v>
      </c>
      <c r="C51" s="51" t="s">
        <v>300</v>
      </c>
      <c r="D51" s="47" t="s">
        <v>44</v>
      </c>
      <c r="E51" s="51" t="s">
        <v>302</v>
      </c>
      <c r="F51" s="47" t="s">
        <v>17</v>
      </c>
      <c r="H51" s="48"/>
      <c r="J51" s="47"/>
      <c r="K51" s="47"/>
      <c r="L51" s="47"/>
      <c r="N51" s="48"/>
      <c r="O51" s="48"/>
      <c r="P51" s="48"/>
      <c r="R51" s="47"/>
      <c r="S51" s="47"/>
      <c r="T51" s="47"/>
      <c r="U51" s="47"/>
      <c r="W51" s="48"/>
      <c r="X51" s="48"/>
      <c r="Y51" s="48"/>
    </row>
    <row r="52" spans="1:25" s="49" customFormat="1">
      <c r="A52" s="493"/>
      <c r="B52" s="47" t="s">
        <v>16</v>
      </c>
      <c r="C52" s="51" t="s">
        <v>301</v>
      </c>
      <c r="D52" s="47" t="s">
        <v>19</v>
      </c>
      <c r="E52" s="51" t="s">
        <v>302</v>
      </c>
      <c r="F52" s="47" t="s">
        <v>17</v>
      </c>
      <c r="G52" s="47"/>
      <c r="H52" s="48"/>
      <c r="J52" s="47"/>
      <c r="K52" s="47"/>
      <c r="L52" s="47"/>
      <c r="N52" s="47"/>
      <c r="O52" s="47"/>
      <c r="P52" s="47"/>
      <c r="R52" s="47"/>
      <c r="S52" s="47"/>
      <c r="T52" s="47"/>
      <c r="U52" s="47"/>
      <c r="W52" s="47"/>
      <c r="X52" s="47"/>
      <c r="Y52" s="47"/>
    </row>
    <row r="53" spans="1:25" s="46" customFormat="1">
      <c r="A53" s="493"/>
      <c r="B53" s="47" t="s">
        <v>35</v>
      </c>
      <c r="C53" s="51" t="s">
        <v>54</v>
      </c>
      <c r="D53" s="47" t="s">
        <v>111</v>
      </c>
      <c r="E53" s="51" t="s">
        <v>302</v>
      </c>
      <c r="F53" s="48"/>
      <c r="G53" s="45"/>
      <c r="H53" s="45"/>
      <c r="I53" s="19"/>
      <c r="J53" s="19"/>
      <c r="K53" s="19"/>
      <c r="L53" s="19"/>
      <c r="M53" s="19"/>
      <c r="N53" s="19"/>
      <c r="O53" s="19"/>
      <c r="P53" s="19"/>
      <c r="Q53" s="19"/>
      <c r="R53" s="19"/>
      <c r="S53" s="19"/>
      <c r="T53" s="19"/>
      <c r="U53" s="19"/>
      <c r="V53" s="19"/>
      <c r="W53" s="19"/>
      <c r="X53" s="19"/>
      <c r="Y53" s="19"/>
    </row>
    <row r="54" spans="1:25">
      <c r="A54" s="493"/>
      <c r="B54" s="45" t="s">
        <v>56</v>
      </c>
      <c r="C54" s="49"/>
      <c r="D54" s="49"/>
      <c r="E54" s="51" t="s">
        <v>302</v>
      </c>
      <c r="F54" s="49"/>
    </row>
    <row r="56" spans="1:25">
      <c r="A56" s="494" t="s">
        <v>57</v>
      </c>
      <c r="B56" s="128" t="s">
        <v>295</v>
      </c>
      <c r="C56" s="10"/>
      <c r="D56" s="9"/>
      <c r="F56" s="9"/>
    </row>
    <row r="57" spans="1:25">
      <c r="A57" s="494"/>
      <c r="B57" s="128" t="s">
        <v>295</v>
      </c>
      <c r="C57" s="10"/>
      <c r="D57" s="9"/>
      <c r="F57" s="9"/>
    </row>
    <row r="58" spans="1:25">
      <c r="A58" s="494"/>
      <c r="B58" s="128" t="s">
        <v>295</v>
      </c>
      <c r="C58" s="10"/>
      <c r="D58" s="9"/>
      <c r="F58" s="9"/>
    </row>
    <row r="59" spans="1:25">
      <c r="A59" s="494"/>
      <c r="B59" s="128" t="s">
        <v>295</v>
      </c>
      <c r="C59" s="10"/>
      <c r="D59" s="9"/>
      <c r="F59" s="9"/>
    </row>
    <row r="61" spans="1:25">
      <c r="B61" s="152" t="s">
        <v>282</v>
      </c>
      <c r="C61" s="153"/>
      <c r="D61" s="153"/>
      <c r="E61" s="153"/>
    </row>
  </sheetData>
  <protectedRanges>
    <protectedRange sqref="B48" name="範圍10"/>
    <protectedRange sqref="B27:B28" name="範圍1"/>
    <protectedRange sqref="B23" name="範圍1_2"/>
    <protectedRange sqref="B22" name="範圍1_1"/>
    <protectedRange sqref="B24:B25" name="範圍1_3"/>
    <protectedRange sqref="B13:B21" name="範圍1_4"/>
    <protectedRange sqref="D20" name="範圍2"/>
    <protectedRange sqref="B26" name="範圍14"/>
    <protectedRange sqref="L26 L30:L34 N30:N34 P30:P34" name="範圍7"/>
    <protectedRange sqref="J30:J34" name="範圍6_1"/>
    <protectedRange sqref="H30:H34" name="範圍5_2"/>
    <protectedRange sqref="E30:E34" name="範圍4_2"/>
    <protectedRange sqref="C30:C34" name="範圍3_2"/>
    <protectedRange sqref="G39:G40 B39:B45" name="範圍9_2"/>
    <protectedRange sqref="C38:C45" name="範圍8_2"/>
    <protectedRange sqref="E50:E54" name="範圍12"/>
    <protectedRange sqref="C50:C53" name="範圍11"/>
    <protectedRange sqref="B56:B59" name="範圍13_1"/>
    <protectedRange sqref="B7" name="範圍1_5"/>
    <protectedRange sqref="B1:B6 B8:B12" name="範圍1_4_1"/>
  </protectedRanges>
  <mergeCells count="4">
    <mergeCell ref="A50:A54"/>
    <mergeCell ref="A56:A59"/>
    <mergeCell ref="A38:A46"/>
    <mergeCell ref="B35:C35"/>
  </mergeCells>
  <phoneticPr fontId="2" type="noConversion"/>
  <pageMargins left="0.35433070866141736" right="0.35433070866141736" top="0.59055118110236227" bottom="0.59055118110236227" header="0.51181102362204722" footer="0.51181102362204722"/>
  <pageSetup paperSize="9" orientation="portrait" r:id="rId1"/>
  <headerFooter alignWithMargins="0"/>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7"/>
  <sheetViews>
    <sheetView topLeftCell="A10" zoomScale="75" workbookViewId="0">
      <selection activeCell="F16" sqref="F16"/>
    </sheetView>
  </sheetViews>
  <sheetFormatPr defaultRowHeight="16.5"/>
  <cols>
    <col min="1" max="1" width="2.5" style="46" customWidth="1"/>
    <col min="2" max="2" width="5" style="114" customWidth="1"/>
    <col min="3" max="3" width="85.5" style="115" customWidth="1"/>
    <col min="4" max="4" width="2.625" style="46" customWidth="1"/>
    <col min="5" max="5" width="9" style="46"/>
    <col min="6" max="15" width="90.625" style="111" customWidth="1"/>
    <col min="16" max="16384" width="9" style="46"/>
  </cols>
  <sheetData>
    <row r="1" spans="2:6" ht="17.25" thickBot="1"/>
    <row r="2" spans="2:6" ht="55.5" customHeight="1" thickTop="1">
      <c r="B2" s="482"/>
      <c r="C2" s="484"/>
    </row>
    <row r="3" spans="2:6">
      <c r="B3" s="116" t="s">
        <v>209</v>
      </c>
      <c r="C3" s="117" t="s">
        <v>210</v>
      </c>
    </row>
    <row r="4" spans="2:6" ht="57.75" customHeight="1">
      <c r="B4" s="116"/>
      <c r="C4" s="117" t="s">
        <v>211</v>
      </c>
      <c r="F4" s="111" t="s">
        <v>212</v>
      </c>
    </row>
    <row r="5" spans="2:6">
      <c r="B5" s="116"/>
      <c r="C5" s="117" t="s">
        <v>213</v>
      </c>
    </row>
    <row r="6" spans="2:6" ht="33">
      <c r="B6" s="116"/>
      <c r="C6" s="117" t="s">
        <v>214</v>
      </c>
      <c r="F6" s="111" t="s">
        <v>215</v>
      </c>
    </row>
    <row r="7" spans="2:6" ht="37.5" customHeight="1">
      <c r="B7" s="116"/>
      <c r="C7" s="117" t="s">
        <v>216</v>
      </c>
      <c r="F7" s="111" t="s">
        <v>217</v>
      </c>
    </row>
    <row r="8" spans="2:6" ht="21" customHeight="1">
      <c r="B8" s="116"/>
      <c r="C8" s="117" t="s">
        <v>218</v>
      </c>
      <c r="F8" s="111" t="s">
        <v>219</v>
      </c>
    </row>
    <row r="9" spans="2:6" ht="43.5" customHeight="1">
      <c r="B9" s="116"/>
      <c r="C9" s="117" t="s">
        <v>220</v>
      </c>
      <c r="F9" s="111" t="s">
        <v>221</v>
      </c>
    </row>
    <row r="10" spans="2:6" ht="58.5" customHeight="1">
      <c r="B10" s="116"/>
      <c r="C10" s="117" t="s">
        <v>222</v>
      </c>
      <c r="F10" s="111" t="s">
        <v>223</v>
      </c>
    </row>
    <row r="11" spans="2:6" ht="28.5" customHeight="1">
      <c r="B11" s="116"/>
      <c r="C11" s="117" t="s">
        <v>224</v>
      </c>
    </row>
    <row r="12" spans="2:6" ht="51.75" customHeight="1">
      <c r="B12" s="116" t="s">
        <v>225</v>
      </c>
      <c r="C12" s="117" t="s">
        <v>226</v>
      </c>
      <c r="F12" s="111" t="s">
        <v>227</v>
      </c>
    </row>
    <row r="13" spans="2:6" ht="39" customHeight="1">
      <c r="B13" s="116" t="s">
        <v>228</v>
      </c>
      <c r="C13" s="117" t="s">
        <v>229</v>
      </c>
      <c r="F13" s="111" t="s">
        <v>230</v>
      </c>
    </row>
    <row r="14" spans="2:6" ht="57.75" customHeight="1">
      <c r="B14" s="116" t="s">
        <v>231</v>
      </c>
      <c r="C14" s="117" t="s">
        <v>232</v>
      </c>
      <c r="F14" s="111" t="s">
        <v>233</v>
      </c>
    </row>
    <row r="15" spans="2:6" ht="24" customHeight="1">
      <c r="B15" s="116" t="s">
        <v>234</v>
      </c>
      <c r="C15" s="117" t="s">
        <v>235</v>
      </c>
      <c r="F15" s="111" t="s">
        <v>236</v>
      </c>
    </row>
    <row r="16" spans="2:6" ht="37.5" customHeight="1">
      <c r="B16" s="116" t="s">
        <v>237</v>
      </c>
      <c r="C16" s="117" t="s">
        <v>238</v>
      </c>
      <c r="F16" s="111" t="s">
        <v>239</v>
      </c>
    </row>
    <row r="17" spans="2:3" ht="56.25" customHeight="1">
      <c r="B17" s="116" t="s">
        <v>240</v>
      </c>
      <c r="C17" s="117" t="s">
        <v>241</v>
      </c>
    </row>
    <row r="18" spans="2:3" ht="33.75" customHeight="1">
      <c r="B18" s="116"/>
      <c r="C18" s="117"/>
    </row>
    <row r="19" spans="2:3">
      <c r="B19" s="116"/>
      <c r="C19" s="117"/>
    </row>
    <row r="20" spans="2:3">
      <c r="B20" s="116"/>
      <c r="C20" s="117"/>
    </row>
    <row r="21" spans="2:3">
      <c r="B21" s="116"/>
      <c r="C21" s="117"/>
    </row>
    <row r="22" spans="2:3">
      <c r="B22" s="116"/>
      <c r="C22" s="117"/>
    </row>
    <row r="23" spans="2:3">
      <c r="B23" s="116"/>
      <c r="C23" s="117"/>
    </row>
    <row r="24" spans="2:3">
      <c r="B24" s="116"/>
      <c r="C24" s="117"/>
    </row>
    <row r="25" spans="2:3">
      <c r="B25" s="116"/>
      <c r="C25" s="117"/>
    </row>
    <row r="26" spans="2:3" ht="17.25" thickBot="1">
      <c r="B26" s="118"/>
      <c r="C26" s="119"/>
    </row>
    <row r="27" spans="2:3" ht="17.25" thickTop="1"/>
  </sheetData>
  <mergeCells count="1">
    <mergeCell ref="B2:C2"/>
  </mergeCells>
  <phoneticPr fontId="2" type="noConversion"/>
  <pageMargins left="0.55118110236220474" right="0.15748031496062992" top="0.39370078740157483" bottom="0.19685039370078741" header="0.51181102362204722" footer="0.51181102362204722"/>
  <pageSetup paperSize="9"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68"/>
  <sheetViews>
    <sheetView zoomScale="75" workbookViewId="0">
      <selection activeCell="D29" sqref="D29:AD31"/>
    </sheetView>
  </sheetViews>
  <sheetFormatPr defaultColWidth="1.75" defaultRowHeight="12.6" customHeight="1"/>
  <cols>
    <col min="1" max="16384" width="1.75" style="94"/>
  </cols>
  <sheetData>
    <row r="1" spans="1:81" ht="12.6" customHeight="1" thickBot="1">
      <c r="A1" s="497" t="str">
        <f>'秘書-input'!B1</f>
        <v>西門黃金店面</v>
      </c>
      <c r="B1" s="498"/>
      <c r="C1" s="498"/>
      <c r="D1" s="498"/>
      <c r="E1" s="498"/>
      <c r="F1" s="498"/>
      <c r="G1" s="498"/>
      <c r="H1" s="498"/>
      <c r="I1" s="498"/>
      <c r="J1" s="498"/>
      <c r="K1" s="498"/>
      <c r="L1" s="498"/>
      <c r="M1" s="498"/>
      <c r="N1" s="498"/>
      <c r="O1" s="498"/>
      <c r="P1" s="498"/>
      <c r="Q1" s="498"/>
      <c r="R1" s="498"/>
      <c r="S1" s="498"/>
      <c r="T1" s="498"/>
      <c r="U1" s="498"/>
      <c r="V1" s="498"/>
      <c r="W1" s="498"/>
      <c r="X1" s="498"/>
      <c r="Y1" s="498"/>
      <c r="Z1" s="498"/>
      <c r="AA1" s="498"/>
      <c r="AB1" s="498"/>
      <c r="AC1" s="498"/>
      <c r="AD1" s="499"/>
      <c r="AE1" s="505" t="s">
        <v>250</v>
      </c>
      <c r="AF1" s="505"/>
      <c r="AG1" s="505"/>
      <c r="AH1" s="505"/>
      <c r="AI1" s="505"/>
      <c r="AJ1" s="505"/>
      <c r="AK1" s="505"/>
      <c r="AL1" s="505"/>
      <c r="AM1" s="505"/>
      <c r="AN1" s="505"/>
      <c r="AO1" s="505"/>
      <c r="AP1" s="505"/>
      <c r="AQ1" s="505"/>
      <c r="AR1" s="505"/>
      <c r="AS1" s="505"/>
      <c r="AT1" s="505"/>
      <c r="AU1" s="505"/>
      <c r="AV1" s="505"/>
      <c r="AW1" s="505"/>
      <c r="AX1" s="505"/>
      <c r="AY1" s="505"/>
      <c r="AZ1" s="505"/>
      <c r="BA1" s="505"/>
      <c r="BB1" s="505"/>
      <c r="BC1" s="505"/>
      <c r="BD1" s="505"/>
      <c r="BE1" s="505"/>
    </row>
    <row r="2" spans="1:81" ht="12.6" customHeight="1" thickBot="1">
      <c r="A2" s="500"/>
      <c r="B2" s="501"/>
      <c r="C2" s="501"/>
      <c r="D2" s="501"/>
      <c r="E2" s="501"/>
      <c r="F2" s="501"/>
      <c r="G2" s="501"/>
      <c r="H2" s="501"/>
      <c r="I2" s="501"/>
      <c r="J2" s="501"/>
      <c r="K2" s="501"/>
      <c r="L2" s="501"/>
      <c r="M2" s="501"/>
      <c r="N2" s="501"/>
      <c r="O2" s="501"/>
      <c r="P2" s="501"/>
      <c r="Q2" s="501"/>
      <c r="R2" s="501"/>
      <c r="S2" s="501"/>
      <c r="T2" s="501"/>
      <c r="U2" s="501"/>
      <c r="V2" s="501"/>
      <c r="W2" s="501"/>
      <c r="X2" s="501"/>
      <c r="Y2" s="501"/>
      <c r="Z2" s="501"/>
      <c r="AA2" s="501"/>
      <c r="AB2" s="501"/>
      <c r="AC2" s="501"/>
      <c r="AD2" s="502"/>
      <c r="AE2" s="505"/>
      <c r="AF2" s="505"/>
      <c r="AG2" s="505"/>
      <c r="AH2" s="505"/>
      <c r="AI2" s="505"/>
      <c r="AJ2" s="505"/>
      <c r="AK2" s="505"/>
      <c r="AL2" s="505"/>
      <c r="AM2" s="505"/>
      <c r="AN2" s="505"/>
      <c r="AO2" s="505"/>
      <c r="AP2" s="505"/>
      <c r="AQ2" s="505"/>
      <c r="AR2" s="505"/>
      <c r="AS2" s="505"/>
      <c r="AT2" s="505"/>
      <c r="AU2" s="505"/>
      <c r="AV2" s="505"/>
      <c r="AW2" s="505"/>
      <c r="AX2" s="505"/>
      <c r="AY2" s="505"/>
      <c r="AZ2" s="505"/>
      <c r="BA2" s="505"/>
      <c r="BB2" s="505"/>
      <c r="BC2" s="505"/>
      <c r="BD2" s="505"/>
      <c r="BE2" s="505"/>
    </row>
    <row r="3" spans="1:81" ht="12.6" customHeight="1" thickBot="1">
      <c r="A3" s="500"/>
      <c r="B3" s="501"/>
      <c r="C3" s="501"/>
      <c r="D3" s="501"/>
      <c r="E3" s="501"/>
      <c r="F3" s="501"/>
      <c r="G3" s="501"/>
      <c r="H3" s="501"/>
      <c r="I3" s="501"/>
      <c r="J3" s="501"/>
      <c r="K3" s="501"/>
      <c r="L3" s="501"/>
      <c r="M3" s="501"/>
      <c r="N3" s="501"/>
      <c r="O3" s="501"/>
      <c r="P3" s="501"/>
      <c r="Q3" s="501"/>
      <c r="R3" s="501"/>
      <c r="S3" s="501"/>
      <c r="T3" s="501"/>
      <c r="U3" s="501"/>
      <c r="V3" s="501"/>
      <c r="W3" s="501"/>
      <c r="X3" s="501"/>
      <c r="Y3" s="501"/>
      <c r="Z3" s="501"/>
      <c r="AA3" s="501"/>
      <c r="AB3" s="501"/>
      <c r="AC3" s="501"/>
      <c r="AD3" s="502"/>
      <c r="AE3" s="505"/>
      <c r="AF3" s="505"/>
      <c r="AG3" s="505"/>
      <c r="AH3" s="505"/>
      <c r="AI3" s="505"/>
      <c r="AJ3" s="505"/>
      <c r="AK3" s="505"/>
      <c r="AL3" s="505"/>
      <c r="AM3" s="505"/>
      <c r="AN3" s="505"/>
      <c r="AO3" s="505"/>
      <c r="AP3" s="505"/>
      <c r="AQ3" s="505"/>
      <c r="AR3" s="505"/>
      <c r="AS3" s="505"/>
      <c r="AT3" s="505"/>
      <c r="AU3" s="505"/>
      <c r="AV3" s="505"/>
      <c r="AW3" s="505"/>
      <c r="AX3" s="505"/>
      <c r="AY3" s="505"/>
      <c r="AZ3" s="505"/>
      <c r="BA3" s="505"/>
      <c r="BB3" s="505"/>
      <c r="BC3" s="505"/>
      <c r="BD3" s="505"/>
      <c r="BE3" s="505"/>
    </row>
    <row r="4" spans="1:81" ht="12.6" customHeight="1" thickBot="1">
      <c r="A4" s="500"/>
      <c r="B4" s="501"/>
      <c r="C4" s="501"/>
      <c r="D4" s="501"/>
      <c r="E4" s="501"/>
      <c r="F4" s="501"/>
      <c r="G4" s="501"/>
      <c r="H4" s="501"/>
      <c r="I4" s="501"/>
      <c r="J4" s="501"/>
      <c r="K4" s="501"/>
      <c r="L4" s="501"/>
      <c r="M4" s="501"/>
      <c r="N4" s="501"/>
      <c r="O4" s="501"/>
      <c r="P4" s="501"/>
      <c r="Q4" s="501"/>
      <c r="R4" s="501"/>
      <c r="S4" s="501"/>
      <c r="T4" s="501"/>
      <c r="U4" s="501"/>
      <c r="V4" s="501"/>
      <c r="W4" s="501"/>
      <c r="X4" s="501"/>
      <c r="Y4" s="501"/>
      <c r="Z4" s="501"/>
      <c r="AA4" s="501"/>
      <c r="AB4" s="501"/>
      <c r="AC4" s="501"/>
      <c r="AD4" s="502"/>
      <c r="AE4" s="505"/>
      <c r="AF4" s="505"/>
      <c r="AG4" s="505"/>
      <c r="AH4" s="505"/>
      <c r="AI4" s="505"/>
      <c r="AJ4" s="505"/>
      <c r="AK4" s="505"/>
      <c r="AL4" s="505"/>
      <c r="AM4" s="505"/>
      <c r="AN4" s="505"/>
      <c r="AO4" s="505"/>
      <c r="AP4" s="505"/>
      <c r="AQ4" s="505"/>
      <c r="AR4" s="505"/>
      <c r="AS4" s="505"/>
      <c r="AT4" s="505"/>
      <c r="AU4" s="505"/>
      <c r="AV4" s="505"/>
      <c r="AW4" s="505"/>
      <c r="AX4" s="505"/>
      <c r="AY4" s="505"/>
      <c r="AZ4" s="505"/>
      <c r="BA4" s="505"/>
      <c r="BB4" s="505"/>
      <c r="BC4" s="505"/>
      <c r="BD4" s="505"/>
      <c r="BE4" s="505"/>
    </row>
    <row r="5" spans="1:81" ht="12.6" customHeight="1" thickBot="1">
      <c r="A5" s="500"/>
      <c r="B5" s="501"/>
      <c r="C5" s="501"/>
      <c r="D5" s="501"/>
      <c r="E5" s="501"/>
      <c r="F5" s="501"/>
      <c r="G5" s="501"/>
      <c r="H5" s="501"/>
      <c r="I5" s="501"/>
      <c r="J5" s="501"/>
      <c r="K5" s="501"/>
      <c r="L5" s="501"/>
      <c r="M5" s="501"/>
      <c r="N5" s="501"/>
      <c r="O5" s="501"/>
      <c r="P5" s="501"/>
      <c r="Q5" s="501"/>
      <c r="R5" s="501"/>
      <c r="S5" s="501"/>
      <c r="T5" s="501"/>
      <c r="U5" s="501"/>
      <c r="V5" s="501"/>
      <c r="W5" s="501"/>
      <c r="X5" s="501"/>
      <c r="Y5" s="501"/>
      <c r="Z5" s="501"/>
      <c r="AA5" s="501"/>
      <c r="AB5" s="501"/>
      <c r="AC5" s="501"/>
      <c r="AD5" s="502"/>
      <c r="AE5" s="505"/>
      <c r="AF5" s="505"/>
      <c r="AG5" s="505"/>
      <c r="AH5" s="505"/>
      <c r="AI5" s="505"/>
      <c r="AJ5" s="505"/>
      <c r="AK5" s="505"/>
      <c r="AL5" s="505"/>
      <c r="AM5" s="505"/>
      <c r="AN5" s="505"/>
      <c r="AO5" s="505"/>
      <c r="AP5" s="505"/>
      <c r="AQ5" s="505"/>
      <c r="AR5" s="505"/>
      <c r="AS5" s="505"/>
      <c r="AT5" s="505"/>
      <c r="AU5" s="505"/>
      <c r="AV5" s="505"/>
      <c r="AW5" s="505"/>
      <c r="AX5" s="505"/>
      <c r="AY5" s="505"/>
      <c r="AZ5" s="505"/>
      <c r="BA5" s="505"/>
      <c r="BB5" s="505"/>
      <c r="BC5" s="505"/>
      <c r="BD5" s="505"/>
      <c r="BE5" s="505"/>
    </row>
    <row r="6" spans="1:81" ht="12.6" customHeight="1" thickBot="1">
      <c r="A6" s="500"/>
      <c r="B6" s="501"/>
      <c r="C6" s="501"/>
      <c r="D6" s="501"/>
      <c r="E6" s="501"/>
      <c r="F6" s="501"/>
      <c r="G6" s="501"/>
      <c r="H6" s="501"/>
      <c r="I6" s="501"/>
      <c r="J6" s="501"/>
      <c r="K6" s="501"/>
      <c r="L6" s="501"/>
      <c r="M6" s="501"/>
      <c r="N6" s="501"/>
      <c r="O6" s="501"/>
      <c r="P6" s="501"/>
      <c r="Q6" s="501"/>
      <c r="R6" s="501"/>
      <c r="S6" s="501"/>
      <c r="T6" s="501"/>
      <c r="U6" s="501"/>
      <c r="V6" s="501"/>
      <c r="W6" s="501"/>
      <c r="X6" s="501"/>
      <c r="Y6" s="501"/>
      <c r="Z6" s="501"/>
      <c r="AA6" s="501"/>
      <c r="AB6" s="501"/>
      <c r="AC6" s="501"/>
      <c r="AD6" s="502"/>
      <c r="AE6" s="505"/>
      <c r="AF6" s="505"/>
      <c r="AG6" s="505"/>
      <c r="AH6" s="505"/>
      <c r="AI6" s="505"/>
      <c r="AJ6" s="505"/>
      <c r="AK6" s="505"/>
      <c r="AL6" s="505"/>
      <c r="AM6" s="505"/>
      <c r="AN6" s="505"/>
      <c r="AO6" s="505"/>
      <c r="AP6" s="505"/>
      <c r="AQ6" s="505"/>
      <c r="AR6" s="505"/>
      <c r="AS6" s="505"/>
      <c r="AT6" s="505"/>
      <c r="AU6" s="505"/>
      <c r="AV6" s="505"/>
      <c r="AW6" s="505"/>
      <c r="AX6" s="505"/>
      <c r="AY6" s="505"/>
      <c r="AZ6" s="505"/>
      <c r="BA6" s="505"/>
      <c r="BB6" s="505"/>
      <c r="BC6" s="505"/>
      <c r="BD6" s="505"/>
      <c r="BE6" s="505"/>
    </row>
    <row r="7" spans="1:81" ht="12.6" customHeight="1" thickBot="1">
      <c r="A7" s="500"/>
      <c r="B7" s="501"/>
      <c r="C7" s="501"/>
      <c r="D7" s="501"/>
      <c r="E7" s="501"/>
      <c r="F7" s="501"/>
      <c r="G7" s="501"/>
      <c r="H7" s="501"/>
      <c r="I7" s="501"/>
      <c r="J7" s="501"/>
      <c r="K7" s="501"/>
      <c r="L7" s="501"/>
      <c r="M7" s="501"/>
      <c r="N7" s="501"/>
      <c r="O7" s="501"/>
      <c r="P7" s="501"/>
      <c r="Q7" s="501"/>
      <c r="R7" s="501"/>
      <c r="S7" s="501"/>
      <c r="T7" s="501"/>
      <c r="U7" s="501"/>
      <c r="V7" s="501"/>
      <c r="W7" s="501"/>
      <c r="X7" s="501"/>
      <c r="Y7" s="501"/>
      <c r="Z7" s="501"/>
      <c r="AA7" s="501"/>
      <c r="AB7" s="501"/>
      <c r="AC7" s="501"/>
      <c r="AD7" s="502"/>
      <c r="AE7" s="505"/>
      <c r="AF7" s="505"/>
      <c r="AG7" s="505"/>
      <c r="AH7" s="505"/>
      <c r="AI7" s="505"/>
      <c r="AJ7" s="505"/>
      <c r="AK7" s="505"/>
      <c r="AL7" s="505"/>
      <c r="AM7" s="505"/>
      <c r="AN7" s="505"/>
      <c r="AO7" s="505"/>
      <c r="AP7" s="505"/>
      <c r="AQ7" s="505"/>
      <c r="AR7" s="505"/>
      <c r="AS7" s="505"/>
      <c r="AT7" s="505"/>
      <c r="AU7" s="505"/>
      <c r="AV7" s="505"/>
      <c r="AW7" s="505"/>
      <c r="AX7" s="505"/>
      <c r="AY7" s="505"/>
      <c r="AZ7" s="505"/>
      <c r="BA7" s="505"/>
      <c r="BB7" s="505"/>
      <c r="BC7" s="505"/>
      <c r="BD7" s="505"/>
      <c r="BE7" s="505"/>
    </row>
    <row r="8" spans="1:81" ht="12.6" customHeight="1" thickBot="1">
      <c r="A8" s="500"/>
      <c r="B8" s="501"/>
      <c r="C8" s="501"/>
      <c r="D8" s="501"/>
      <c r="E8" s="501"/>
      <c r="F8" s="501"/>
      <c r="G8" s="501"/>
      <c r="H8" s="501"/>
      <c r="I8" s="501"/>
      <c r="J8" s="501"/>
      <c r="K8" s="501"/>
      <c r="L8" s="501"/>
      <c r="M8" s="501"/>
      <c r="N8" s="501"/>
      <c r="O8" s="501"/>
      <c r="P8" s="501"/>
      <c r="Q8" s="501"/>
      <c r="R8" s="501"/>
      <c r="S8" s="501"/>
      <c r="T8" s="501"/>
      <c r="U8" s="501"/>
      <c r="V8" s="501"/>
      <c r="W8" s="501"/>
      <c r="X8" s="501"/>
      <c r="Y8" s="501"/>
      <c r="Z8" s="501"/>
      <c r="AA8" s="501"/>
      <c r="AB8" s="501"/>
      <c r="AC8" s="501"/>
      <c r="AD8" s="502"/>
      <c r="AE8" s="505"/>
      <c r="AF8" s="505"/>
      <c r="AG8" s="505"/>
      <c r="AH8" s="505"/>
      <c r="AI8" s="505"/>
      <c r="AJ8" s="505"/>
      <c r="AK8" s="505"/>
      <c r="AL8" s="505"/>
      <c r="AM8" s="505"/>
      <c r="AN8" s="505"/>
      <c r="AO8" s="505"/>
      <c r="AP8" s="505"/>
      <c r="AQ8" s="505"/>
      <c r="AR8" s="505"/>
      <c r="AS8" s="505"/>
      <c r="AT8" s="505"/>
      <c r="AU8" s="505"/>
      <c r="AV8" s="505"/>
      <c r="AW8" s="505"/>
      <c r="AX8" s="505"/>
      <c r="AY8" s="505"/>
      <c r="AZ8" s="505"/>
      <c r="BA8" s="505"/>
      <c r="BB8" s="505"/>
      <c r="BC8" s="505"/>
      <c r="BD8" s="505"/>
      <c r="BE8" s="505"/>
    </row>
    <row r="9" spans="1:81" ht="12.6" customHeight="1" thickBot="1">
      <c r="A9" s="129"/>
      <c r="B9" s="130"/>
      <c r="C9" s="130"/>
      <c r="D9" s="130"/>
      <c r="E9" s="130"/>
      <c r="F9" s="130"/>
      <c r="G9" s="130"/>
      <c r="H9" s="130"/>
      <c r="I9" s="130"/>
      <c r="J9" s="130"/>
      <c r="K9" s="130"/>
      <c r="L9" s="130"/>
      <c r="M9" s="130"/>
      <c r="N9" s="130"/>
      <c r="O9" s="130"/>
      <c r="P9" s="130"/>
      <c r="Q9" s="130"/>
      <c r="R9" s="132"/>
      <c r="S9" s="131"/>
      <c r="T9" s="131"/>
      <c r="U9" s="517" t="s">
        <v>260</v>
      </c>
      <c r="V9" s="517"/>
      <c r="W9" s="517"/>
      <c r="X9" s="518" t="str">
        <f>'秘書-input'!B28</f>
        <v>018155</v>
      </c>
      <c r="Y9" s="518"/>
      <c r="Z9" s="518"/>
      <c r="AA9" s="518"/>
      <c r="AB9" s="518"/>
      <c r="AC9" s="518"/>
      <c r="AD9" s="519"/>
      <c r="AE9" s="505"/>
      <c r="AF9" s="505"/>
      <c r="AG9" s="505"/>
      <c r="AH9" s="505"/>
      <c r="AI9" s="505"/>
      <c r="AJ9" s="505"/>
      <c r="AK9" s="505"/>
      <c r="AL9" s="505"/>
      <c r="AM9" s="505"/>
      <c r="AN9" s="505"/>
      <c r="AO9" s="505"/>
      <c r="AP9" s="505"/>
      <c r="AQ9" s="505"/>
      <c r="AR9" s="505"/>
      <c r="AS9" s="505"/>
      <c r="AT9" s="505"/>
      <c r="AU9" s="505"/>
      <c r="AV9" s="505"/>
      <c r="AW9" s="505"/>
      <c r="AX9" s="505"/>
      <c r="AY9" s="505"/>
      <c r="AZ9" s="505"/>
      <c r="BA9" s="505"/>
      <c r="BB9" s="505"/>
      <c r="BC9" s="505"/>
      <c r="BD9" s="505"/>
      <c r="BE9" s="505"/>
      <c r="BI9" s="121"/>
      <c r="BJ9" s="121"/>
      <c r="BK9" s="121"/>
      <c r="BL9" s="122"/>
      <c r="BM9" s="122"/>
      <c r="BN9" s="122"/>
      <c r="BO9" s="122"/>
      <c r="BP9" s="122"/>
      <c r="BQ9" s="122"/>
      <c r="BR9" s="122"/>
      <c r="BS9" s="122"/>
      <c r="BT9" s="122"/>
      <c r="BU9" s="122"/>
      <c r="BV9" s="122"/>
      <c r="BW9" s="122"/>
      <c r="BX9" s="122"/>
      <c r="BY9" s="122"/>
      <c r="BZ9" s="122"/>
      <c r="CA9" s="123"/>
      <c r="CB9" s="123"/>
      <c r="CC9" s="123"/>
    </row>
    <row r="10" spans="1:81" ht="12.6" customHeight="1" thickBot="1">
      <c r="A10" s="513" t="s">
        <v>261</v>
      </c>
      <c r="B10" s="513"/>
      <c r="C10" s="513"/>
      <c r="D10" s="529">
        <f>'秘書-input'!B10</f>
        <v>7588</v>
      </c>
      <c r="E10" s="530"/>
      <c r="F10" s="530"/>
      <c r="G10" s="530"/>
      <c r="H10" s="530"/>
      <c r="I10" s="530"/>
      <c r="J10" s="530"/>
      <c r="K10" s="530"/>
      <c r="L10" s="530"/>
      <c r="M10" s="530"/>
      <c r="N10" s="530"/>
      <c r="O10" s="530"/>
      <c r="P10" s="530"/>
      <c r="Q10" s="530"/>
      <c r="R10" s="503" t="s">
        <v>265</v>
      </c>
      <c r="S10" s="504"/>
      <c r="T10" s="504"/>
      <c r="U10" s="551" t="s">
        <v>266</v>
      </c>
      <c r="V10" s="552"/>
      <c r="W10" s="552"/>
      <c r="X10" s="535" t="str">
        <f>'秘書-input'!E13</f>
        <v>1~2/7F</v>
      </c>
      <c r="Y10" s="536"/>
      <c r="Z10" s="536"/>
      <c r="AA10" s="536"/>
      <c r="AB10" s="536"/>
      <c r="AC10" s="536"/>
      <c r="AD10" s="537"/>
      <c r="AE10" s="505"/>
      <c r="AF10" s="505"/>
      <c r="AG10" s="505"/>
      <c r="AH10" s="505"/>
      <c r="AI10" s="505"/>
      <c r="AJ10" s="505"/>
      <c r="AK10" s="505"/>
      <c r="AL10" s="505"/>
      <c r="AM10" s="505"/>
      <c r="AN10" s="505"/>
      <c r="AO10" s="505"/>
      <c r="AP10" s="505"/>
      <c r="AQ10" s="505"/>
      <c r="AR10" s="505"/>
      <c r="AS10" s="505"/>
      <c r="AT10" s="505"/>
      <c r="AU10" s="505"/>
      <c r="AV10" s="505"/>
      <c r="AW10" s="505"/>
      <c r="AX10" s="505"/>
      <c r="AY10" s="505"/>
      <c r="AZ10" s="505"/>
      <c r="BA10" s="505"/>
      <c r="BB10" s="505"/>
      <c r="BC10" s="505"/>
      <c r="BD10" s="505"/>
      <c r="BE10" s="505"/>
      <c r="BI10" s="121"/>
      <c r="BJ10" s="121"/>
      <c r="BK10" s="121"/>
      <c r="BL10" s="122"/>
      <c r="BM10" s="122"/>
      <c r="BN10" s="122"/>
      <c r="BO10" s="122"/>
      <c r="BP10" s="122"/>
      <c r="BQ10" s="122"/>
      <c r="BR10" s="122"/>
      <c r="BS10" s="122"/>
      <c r="BT10" s="122"/>
      <c r="BU10" s="122"/>
      <c r="BV10" s="122"/>
      <c r="BW10" s="122"/>
      <c r="BX10" s="122"/>
      <c r="BY10" s="122"/>
      <c r="BZ10" s="122"/>
      <c r="CA10" s="123"/>
      <c r="CB10" s="123"/>
      <c r="CC10" s="123"/>
    </row>
    <row r="11" spans="1:81" ht="12.6" customHeight="1" thickBot="1">
      <c r="A11" s="513"/>
      <c r="B11" s="513"/>
      <c r="C11" s="513"/>
      <c r="D11" s="531"/>
      <c r="E11" s="532"/>
      <c r="F11" s="532"/>
      <c r="G11" s="532"/>
      <c r="H11" s="532"/>
      <c r="I11" s="532"/>
      <c r="J11" s="532"/>
      <c r="K11" s="532"/>
      <c r="L11" s="532"/>
      <c r="M11" s="532"/>
      <c r="N11" s="532"/>
      <c r="O11" s="532"/>
      <c r="P11" s="532"/>
      <c r="Q11" s="532"/>
      <c r="R11" s="503"/>
      <c r="S11" s="504"/>
      <c r="T11" s="504"/>
      <c r="U11" s="553"/>
      <c r="V11" s="554"/>
      <c r="W11" s="554"/>
      <c r="X11" s="538"/>
      <c r="Y11" s="539"/>
      <c r="Z11" s="539"/>
      <c r="AA11" s="539"/>
      <c r="AB11" s="539"/>
      <c r="AC11" s="539"/>
      <c r="AD11" s="540"/>
      <c r="AE11" s="505"/>
      <c r="AF11" s="505"/>
      <c r="AG11" s="505"/>
      <c r="AH11" s="505"/>
      <c r="AI11" s="505"/>
      <c r="AJ11" s="505"/>
      <c r="AK11" s="505"/>
      <c r="AL11" s="505"/>
      <c r="AM11" s="505"/>
      <c r="AN11" s="505"/>
      <c r="AO11" s="505"/>
      <c r="AP11" s="505"/>
      <c r="AQ11" s="505"/>
      <c r="AR11" s="505"/>
      <c r="AS11" s="505"/>
      <c r="AT11" s="505"/>
      <c r="AU11" s="505"/>
      <c r="AV11" s="505"/>
      <c r="AW11" s="505"/>
      <c r="AX11" s="505"/>
      <c r="AY11" s="505"/>
      <c r="AZ11" s="505"/>
      <c r="BA11" s="505"/>
      <c r="BB11" s="505"/>
      <c r="BC11" s="505"/>
      <c r="BD11" s="505"/>
      <c r="BE11" s="505"/>
      <c r="BI11" s="121"/>
      <c r="BJ11" s="121"/>
      <c r="BK11" s="121"/>
      <c r="BL11" s="122"/>
      <c r="BM11" s="122"/>
      <c r="BN11" s="122"/>
      <c r="BO11" s="122"/>
      <c r="BP11" s="122"/>
      <c r="BQ11" s="122"/>
      <c r="BR11" s="122"/>
      <c r="BS11" s="122"/>
      <c r="BT11" s="122"/>
      <c r="BU11" s="122"/>
      <c r="BV11" s="122"/>
      <c r="BW11" s="122"/>
      <c r="BX11" s="122"/>
      <c r="BY11" s="122"/>
      <c r="BZ11" s="122"/>
      <c r="CA11" s="123"/>
      <c r="CB11" s="123"/>
      <c r="CC11" s="123"/>
    </row>
    <row r="12" spans="1:81" ht="12.6" customHeight="1" thickBot="1">
      <c r="A12" s="513"/>
      <c r="B12" s="513"/>
      <c r="C12" s="513"/>
      <c r="D12" s="531"/>
      <c r="E12" s="532"/>
      <c r="F12" s="532"/>
      <c r="G12" s="532"/>
      <c r="H12" s="532"/>
      <c r="I12" s="532"/>
      <c r="J12" s="532"/>
      <c r="K12" s="532"/>
      <c r="L12" s="532"/>
      <c r="M12" s="532"/>
      <c r="N12" s="532"/>
      <c r="O12" s="532"/>
      <c r="P12" s="532"/>
      <c r="Q12" s="532"/>
      <c r="R12" s="503"/>
      <c r="S12" s="504"/>
      <c r="T12" s="504"/>
      <c r="U12" s="553"/>
      <c r="V12" s="554"/>
      <c r="W12" s="554"/>
      <c r="X12" s="538"/>
      <c r="Y12" s="539"/>
      <c r="Z12" s="539"/>
      <c r="AA12" s="539"/>
      <c r="AB12" s="539"/>
      <c r="AC12" s="539"/>
      <c r="AD12" s="540"/>
      <c r="AE12" s="505"/>
      <c r="AF12" s="505"/>
      <c r="AG12" s="505"/>
      <c r="AH12" s="505"/>
      <c r="AI12" s="505"/>
      <c r="AJ12" s="505"/>
      <c r="AK12" s="505"/>
      <c r="AL12" s="505"/>
      <c r="AM12" s="505"/>
      <c r="AN12" s="505"/>
      <c r="AO12" s="505"/>
      <c r="AP12" s="505"/>
      <c r="AQ12" s="505"/>
      <c r="AR12" s="505"/>
      <c r="AS12" s="505"/>
      <c r="AT12" s="505"/>
      <c r="AU12" s="505"/>
      <c r="AV12" s="505"/>
      <c r="AW12" s="505"/>
      <c r="AX12" s="505"/>
      <c r="AY12" s="505"/>
      <c r="AZ12" s="505"/>
      <c r="BA12" s="505"/>
      <c r="BB12" s="505"/>
      <c r="BC12" s="505"/>
      <c r="BD12" s="505"/>
      <c r="BE12" s="505"/>
      <c r="BI12" s="121"/>
      <c r="BJ12" s="121"/>
      <c r="BK12" s="121"/>
      <c r="BL12" s="122"/>
      <c r="BM12" s="122"/>
      <c r="BN12" s="122"/>
      <c r="BO12" s="122"/>
      <c r="BP12" s="122"/>
      <c r="BQ12" s="122"/>
      <c r="BR12" s="122"/>
      <c r="BS12" s="122"/>
      <c r="BT12" s="122"/>
      <c r="BU12" s="122"/>
      <c r="BV12" s="122"/>
      <c r="BW12" s="122"/>
      <c r="BX12" s="122"/>
      <c r="BY12" s="122"/>
      <c r="BZ12" s="122"/>
      <c r="CA12" s="123"/>
      <c r="CB12" s="123"/>
      <c r="CC12" s="123"/>
    </row>
    <row r="13" spans="1:81" ht="12.6" customHeight="1" thickBot="1">
      <c r="A13" s="513"/>
      <c r="B13" s="513"/>
      <c r="C13" s="513"/>
      <c r="D13" s="531"/>
      <c r="E13" s="532"/>
      <c r="F13" s="532"/>
      <c r="G13" s="532"/>
      <c r="H13" s="532"/>
      <c r="I13" s="532"/>
      <c r="J13" s="532"/>
      <c r="K13" s="532"/>
      <c r="L13" s="532"/>
      <c r="M13" s="532"/>
      <c r="N13" s="532"/>
      <c r="O13" s="532"/>
      <c r="P13" s="532"/>
      <c r="Q13" s="532"/>
      <c r="R13" s="503"/>
      <c r="S13" s="504"/>
      <c r="T13" s="504"/>
      <c r="U13" s="553"/>
      <c r="V13" s="554"/>
      <c r="W13" s="554"/>
      <c r="X13" s="538"/>
      <c r="Y13" s="539"/>
      <c r="Z13" s="539"/>
      <c r="AA13" s="539"/>
      <c r="AB13" s="539"/>
      <c r="AC13" s="539"/>
      <c r="AD13" s="540"/>
      <c r="AE13" s="505"/>
      <c r="AF13" s="505"/>
      <c r="AG13" s="505"/>
      <c r="AH13" s="505"/>
      <c r="AI13" s="505"/>
      <c r="AJ13" s="505"/>
      <c r="AK13" s="505"/>
      <c r="AL13" s="505"/>
      <c r="AM13" s="505"/>
      <c r="AN13" s="505"/>
      <c r="AO13" s="505"/>
      <c r="AP13" s="505"/>
      <c r="AQ13" s="505"/>
      <c r="AR13" s="505"/>
      <c r="AS13" s="505"/>
      <c r="AT13" s="505"/>
      <c r="AU13" s="505"/>
      <c r="AV13" s="505"/>
      <c r="AW13" s="505"/>
      <c r="AX13" s="505"/>
      <c r="AY13" s="505"/>
      <c r="AZ13" s="505"/>
      <c r="BA13" s="505"/>
      <c r="BB13" s="505"/>
      <c r="BC13" s="505"/>
      <c r="BD13" s="505"/>
      <c r="BE13" s="505"/>
      <c r="BI13" s="121"/>
      <c r="BJ13" s="121"/>
      <c r="BK13" s="121"/>
      <c r="BL13" s="124"/>
      <c r="BM13" s="124"/>
      <c r="BN13" s="124"/>
      <c r="BO13" s="124"/>
      <c r="BP13" s="124"/>
      <c r="BQ13" s="124"/>
      <c r="BR13" s="124"/>
      <c r="BS13" s="124"/>
      <c r="BT13" s="124"/>
      <c r="BU13" s="124"/>
      <c r="BV13" s="124"/>
      <c r="BW13" s="124"/>
      <c r="BX13" s="124"/>
      <c r="BY13" s="124"/>
      <c r="BZ13" s="124"/>
      <c r="CA13" s="123"/>
      <c r="CB13" s="123"/>
      <c r="CC13" s="123"/>
    </row>
    <row r="14" spans="1:81" ht="12.6" customHeight="1" thickBot="1">
      <c r="A14" s="513"/>
      <c r="B14" s="513"/>
      <c r="C14" s="513"/>
      <c r="D14" s="533"/>
      <c r="E14" s="534"/>
      <c r="F14" s="534"/>
      <c r="G14" s="534"/>
      <c r="H14" s="534"/>
      <c r="I14" s="534"/>
      <c r="J14" s="534"/>
      <c r="K14" s="534"/>
      <c r="L14" s="534"/>
      <c r="M14" s="534"/>
      <c r="N14" s="534"/>
      <c r="O14" s="534"/>
      <c r="P14" s="534"/>
      <c r="Q14" s="534"/>
      <c r="R14" s="503"/>
      <c r="S14" s="504"/>
      <c r="T14" s="504"/>
      <c r="U14" s="555"/>
      <c r="V14" s="556"/>
      <c r="W14" s="556"/>
      <c r="X14" s="541"/>
      <c r="Y14" s="542"/>
      <c r="Z14" s="542"/>
      <c r="AA14" s="542"/>
      <c r="AB14" s="542"/>
      <c r="AC14" s="542"/>
      <c r="AD14" s="543"/>
      <c r="AE14" s="505"/>
      <c r="AF14" s="505"/>
      <c r="AG14" s="505"/>
      <c r="AH14" s="505"/>
      <c r="AI14" s="505"/>
      <c r="AJ14" s="505"/>
      <c r="AK14" s="505"/>
      <c r="AL14" s="505"/>
      <c r="AM14" s="505"/>
      <c r="AN14" s="505"/>
      <c r="AO14" s="505"/>
      <c r="AP14" s="505"/>
      <c r="AQ14" s="505"/>
      <c r="AR14" s="505"/>
      <c r="AS14" s="505"/>
      <c r="AT14" s="505"/>
      <c r="AU14" s="505"/>
      <c r="AV14" s="505"/>
      <c r="AW14" s="505"/>
      <c r="AX14" s="505"/>
      <c r="AY14" s="505"/>
      <c r="AZ14" s="505"/>
      <c r="BA14" s="505"/>
      <c r="BB14" s="505"/>
      <c r="BC14" s="505"/>
      <c r="BD14" s="505"/>
      <c r="BE14" s="505"/>
      <c r="BI14" s="121"/>
      <c r="BJ14" s="121"/>
      <c r="BK14" s="121"/>
      <c r="BL14" s="124"/>
      <c r="BM14" s="124"/>
      <c r="BN14" s="124"/>
      <c r="BO14" s="124"/>
      <c r="BP14" s="124"/>
      <c r="BQ14" s="124"/>
      <c r="BR14" s="124"/>
      <c r="BS14" s="124"/>
      <c r="BT14" s="124"/>
      <c r="BU14" s="124"/>
      <c r="BV14" s="124"/>
      <c r="BW14" s="124"/>
      <c r="BX14" s="124"/>
      <c r="BY14" s="124"/>
      <c r="BZ14" s="124"/>
      <c r="CA14" s="123"/>
      <c r="CB14" s="123"/>
      <c r="CC14" s="123"/>
    </row>
    <row r="15" spans="1:81" ht="12.6" customHeight="1" thickBot="1">
      <c r="A15" s="513" t="s">
        <v>262</v>
      </c>
      <c r="B15" s="513"/>
      <c r="C15" s="513"/>
      <c r="D15" s="545">
        <f>'秘書-input'!E46</f>
        <v>34.835899999999995</v>
      </c>
      <c r="E15" s="546"/>
      <c r="F15" s="546"/>
      <c r="G15" s="546"/>
      <c r="H15" s="546"/>
      <c r="I15" s="546"/>
      <c r="J15" s="546"/>
      <c r="K15" s="546"/>
      <c r="L15" s="546"/>
      <c r="M15" s="546"/>
      <c r="N15" s="546"/>
      <c r="O15" s="546"/>
      <c r="P15" s="546"/>
      <c r="Q15" s="546"/>
      <c r="R15" s="503" t="s">
        <v>267</v>
      </c>
      <c r="S15" s="504"/>
      <c r="T15" s="504"/>
      <c r="U15" s="506" t="s">
        <v>268</v>
      </c>
      <c r="V15" s="507"/>
      <c r="W15" s="507"/>
      <c r="X15" s="520" t="str">
        <f>'秘書-input'!C50</f>
        <v>無</v>
      </c>
      <c r="Y15" s="521"/>
      <c r="Z15" s="521"/>
      <c r="AA15" s="521"/>
      <c r="AB15" s="521"/>
      <c r="AC15" s="521"/>
      <c r="AD15" s="522"/>
      <c r="AE15" s="505"/>
      <c r="AF15" s="505"/>
      <c r="AG15" s="505"/>
      <c r="AH15" s="505"/>
      <c r="AI15" s="505"/>
      <c r="AJ15" s="505"/>
      <c r="AK15" s="505"/>
      <c r="AL15" s="505"/>
      <c r="AM15" s="505"/>
      <c r="AN15" s="505"/>
      <c r="AO15" s="505"/>
      <c r="AP15" s="505"/>
      <c r="AQ15" s="505"/>
      <c r="AR15" s="505"/>
      <c r="AS15" s="505"/>
      <c r="AT15" s="505"/>
      <c r="AU15" s="505"/>
      <c r="AV15" s="505"/>
      <c r="AW15" s="505"/>
      <c r="AX15" s="505"/>
      <c r="AY15" s="505"/>
      <c r="AZ15" s="505"/>
      <c r="BA15" s="505"/>
      <c r="BB15" s="505"/>
      <c r="BC15" s="505"/>
      <c r="BD15" s="505"/>
      <c r="BE15" s="505"/>
      <c r="BI15" s="121"/>
      <c r="BJ15" s="121"/>
      <c r="BK15" s="121"/>
      <c r="BL15" s="124"/>
      <c r="BM15" s="124"/>
      <c r="BN15" s="124"/>
      <c r="BO15" s="124"/>
      <c r="BP15" s="124"/>
      <c r="BQ15" s="124"/>
      <c r="BR15" s="124"/>
      <c r="BS15" s="124"/>
      <c r="BT15" s="124"/>
      <c r="BU15" s="124"/>
      <c r="BV15" s="124"/>
      <c r="BW15" s="124"/>
      <c r="BX15" s="124"/>
      <c r="BY15" s="124"/>
      <c r="BZ15" s="124"/>
      <c r="CA15" s="123"/>
      <c r="CB15" s="123"/>
      <c r="CC15" s="123"/>
    </row>
    <row r="16" spans="1:81" ht="12.6" customHeight="1" thickBot="1">
      <c r="A16" s="513"/>
      <c r="B16" s="513"/>
      <c r="C16" s="513"/>
      <c r="D16" s="547"/>
      <c r="E16" s="548"/>
      <c r="F16" s="548"/>
      <c r="G16" s="548"/>
      <c r="H16" s="548"/>
      <c r="I16" s="548"/>
      <c r="J16" s="548"/>
      <c r="K16" s="548"/>
      <c r="L16" s="548"/>
      <c r="M16" s="548"/>
      <c r="N16" s="548"/>
      <c r="O16" s="548"/>
      <c r="P16" s="548"/>
      <c r="Q16" s="548"/>
      <c r="R16" s="503"/>
      <c r="S16" s="504"/>
      <c r="T16" s="504"/>
      <c r="U16" s="508"/>
      <c r="V16" s="509"/>
      <c r="W16" s="509"/>
      <c r="X16" s="523"/>
      <c r="Y16" s="524"/>
      <c r="Z16" s="524"/>
      <c r="AA16" s="524"/>
      <c r="AB16" s="524"/>
      <c r="AC16" s="524"/>
      <c r="AD16" s="525"/>
      <c r="AE16" s="505"/>
      <c r="AF16" s="505"/>
      <c r="AG16" s="505"/>
      <c r="AH16" s="505"/>
      <c r="AI16" s="505"/>
      <c r="AJ16" s="505"/>
      <c r="AK16" s="505"/>
      <c r="AL16" s="505"/>
      <c r="AM16" s="505"/>
      <c r="AN16" s="505"/>
      <c r="AO16" s="505"/>
      <c r="AP16" s="505"/>
      <c r="AQ16" s="505"/>
      <c r="AR16" s="505"/>
      <c r="AS16" s="505"/>
      <c r="AT16" s="505"/>
      <c r="AU16" s="505"/>
      <c r="AV16" s="505"/>
      <c r="AW16" s="505"/>
      <c r="AX16" s="505"/>
      <c r="AY16" s="505"/>
      <c r="AZ16" s="505"/>
      <c r="BA16" s="505"/>
      <c r="BB16" s="505"/>
      <c r="BC16" s="505"/>
      <c r="BD16" s="505"/>
      <c r="BE16" s="505"/>
      <c r="BI16" s="121"/>
      <c r="BJ16" s="121"/>
      <c r="BK16" s="121"/>
      <c r="BL16" s="124"/>
      <c r="BM16" s="124"/>
      <c r="BN16" s="124"/>
      <c r="BO16" s="124"/>
      <c r="BP16" s="124"/>
      <c r="BQ16" s="124"/>
      <c r="BR16" s="124"/>
      <c r="BS16" s="124"/>
      <c r="BT16" s="124"/>
      <c r="BU16" s="124"/>
      <c r="BV16" s="124"/>
      <c r="BW16" s="124"/>
      <c r="BX16" s="124"/>
      <c r="BY16" s="124"/>
      <c r="BZ16" s="124"/>
      <c r="CA16" s="123"/>
      <c r="CB16" s="123"/>
      <c r="CC16" s="123"/>
    </row>
    <row r="17" spans="1:81" ht="12.6" customHeight="1" thickBot="1">
      <c r="A17" s="513"/>
      <c r="B17" s="513"/>
      <c r="C17" s="513"/>
      <c r="D17" s="547"/>
      <c r="E17" s="548"/>
      <c r="F17" s="548"/>
      <c r="G17" s="548"/>
      <c r="H17" s="548"/>
      <c r="I17" s="548"/>
      <c r="J17" s="548"/>
      <c r="K17" s="548"/>
      <c r="L17" s="548"/>
      <c r="M17" s="548"/>
      <c r="N17" s="548"/>
      <c r="O17" s="548"/>
      <c r="P17" s="548"/>
      <c r="Q17" s="548"/>
      <c r="R17" s="503"/>
      <c r="S17" s="504"/>
      <c r="T17" s="504"/>
      <c r="U17" s="508"/>
      <c r="V17" s="509"/>
      <c r="W17" s="509"/>
      <c r="X17" s="523"/>
      <c r="Y17" s="524"/>
      <c r="Z17" s="524"/>
      <c r="AA17" s="524"/>
      <c r="AB17" s="524"/>
      <c r="AC17" s="524"/>
      <c r="AD17" s="525"/>
      <c r="AE17" s="505"/>
      <c r="AF17" s="505"/>
      <c r="AG17" s="505"/>
      <c r="AH17" s="505"/>
      <c r="AI17" s="505"/>
      <c r="AJ17" s="505"/>
      <c r="AK17" s="505"/>
      <c r="AL17" s="505"/>
      <c r="AM17" s="505"/>
      <c r="AN17" s="505"/>
      <c r="AO17" s="505"/>
      <c r="AP17" s="505"/>
      <c r="AQ17" s="505"/>
      <c r="AR17" s="505"/>
      <c r="AS17" s="505"/>
      <c r="AT17" s="505"/>
      <c r="AU17" s="505"/>
      <c r="AV17" s="505"/>
      <c r="AW17" s="505"/>
      <c r="AX17" s="505"/>
      <c r="AY17" s="505"/>
      <c r="AZ17" s="505"/>
      <c r="BA17" s="505"/>
      <c r="BB17" s="505"/>
      <c r="BC17" s="505"/>
      <c r="BD17" s="505"/>
      <c r="BE17" s="505"/>
      <c r="BI17" s="121"/>
      <c r="BJ17" s="121"/>
      <c r="BK17" s="121"/>
      <c r="BL17" s="125"/>
      <c r="BM17" s="125"/>
      <c r="BN17" s="125"/>
      <c r="BO17" s="125"/>
      <c r="BP17" s="125"/>
      <c r="BQ17" s="125"/>
      <c r="BR17" s="125"/>
      <c r="BS17" s="125"/>
      <c r="BT17" s="125"/>
      <c r="BU17" s="125"/>
      <c r="BV17" s="125"/>
      <c r="BW17" s="125"/>
      <c r="BX17" s="125"/>
      <c r="BY17" s="125"/>
      <c r="BZ17" s="125"/>
      <c r="CA17" s="125"/>
      <c r="CB17" s="125"/>
      <c r="CC17" s="125"/>
    </row>
    <row r="18" spans="1:81" ht="12.6" customHeight="1" thickBot="1">
      <c r="A18" s="513"/>
      <c r="B18" s="513"/>
      <c r="C18" s="513"/>
      <c r="D18" s="547"/>
      <c r="E18" s="548"/>
      <c r="F18" s="548"/>
      <c r="G18" s="548"/>
      <c r="H18" s="548"/>
      <c r="I18" s="548"/>
      <c r="J18" s="548"/>
      <c r="K18" s="548"/>
      <c r="L18" s="548"/>
      <c r="M18" s="548"/>
      <c r="N18" s="548"/>
      <c r="O18" s="548"/>
      <c r="P18" s="548"/>
      <c r="Q18" s="548"/>
      <c r="R18" s="503"/>
      <c r="S18" s="504"/>
      <c r="T18" s="504"/>
      <c r="U18" s="508"/>
      <c r="V18" s="509"/>
      <c r="W18" s="509"/>
      <c r="X18" s="523"/>
      <c r="Y18" s="524"/>
      <c r="Z18" s="524"/>
      <c r="AA18" s="524"/>
      <c r="AB18" s="524"/>
      <c r="AC18" s="524"/>
      <c r="AD18" s="525"/>
      <c r="AE18" s="505" t="s">
        <v>251</v>
      </c>
      <c r="AF18" s="505"/>
      <c r="AG18" s="505"/>
      <c r="AH18" s="505"/>
      <c r="AI18" s="505"/>
      <c r="AJ18" s="505"/>
      <c r="AK18" s="505"/>
      <c r="AL18" s="505"/>
      <c r="AM18" s="505"/>
      <c r="AN18" s="505"/>
      <c r="AO18" s="505"/>
      <c r="AP18" s="505"/>
      <c r="AQ18" s="505"/>
      <c r="AR18" s="505"/>
      <c r="AS18" s="505"/>
      <c r="AT18" s="505"/>
      <c r="AU18" s="505"/>
      <c r="AV18" s="505"/>
      <c r="AW18" s="505"/>
      <c r="AX18" s="505"/>
      <c r="AY18" s="505"/>
      <c r="AZ18" s="505"/>
      <c r="BA18" s="505"/>
      <c r="BB18" s="505"/>
      <c r="BC18" s="505"/>
      <c r="BD18" s="505"/>
      <c r="BE18" s="505"/>
      <c r="BI18" s="121"/>
      <c r="BJ18" s="121"/>
      <c r="BK18" s="121"/>
      <c r="BL18" s="125"/>
      <c r="BM18" s="125"/>
      <c r="BN18" s="125"/>
      <c r="BO18" s="125"/>
      <c r="BP18" s="125"/>
      <c r="BQ18" s="125"/>
      <c r="BR18" s="125"/>
      <c r="BS18" s="125"/>
      <c r="BT18" s="125"/>
      <c r="BU18" s="125"/>
      <c r="BV18" s="125"/>
      <c r="BW18" s="125"/>
      <c r="BX18" s="125"/>
      <c r="BY18" s="125"/>
      <c r="BZ18" s="125"/>
      <c r="CA18" s="125"/>
      <c r="CB18" s="125"/>
      <c r="CC18" s="125"/>
    </row>
    <row r="19" spans="1:81" ht="12.6" customHeight="1" thickBot="1">
      <c r="A19" s="513"/>
      <c r="B19" s="513"/>
      <c r="C19" s="513"/>
      <c r="D19" s="549"/>
      <c r="E19" s="550"/>
      <c r="F19" s="550"/>
      <c r="G19" s="550"/>
      <c r="H19" s="550"/>
      <c r="I19" s="550"/>
      <c r="J19" s="550"/>
      <c r="K19" s="550"/>
      <c r="L19" s="550"/>
      <c r="M19" s="550"/>
      <c r="N19" s="550"/>
      <c r="O19" s="550"/>
      <c r="P19" s="550"/>
      <c r="Q19" s="550"/>
      <c r="R19" s="503"/>
      <c r="S19" s="504"/>
      <c r="T19" s="504"/>
      <c r="U19" s="510"/>
      <c r="V19" s="511"/>
      <c r="W19" s="511"/>
      <c r="X19" s="526"/>
      <c r="Y19" s="527"/>
      <c r="Z19" s="527"/>
      <c r="AA19" s="527"/>
      <c r="AB19" s="527"/>
      <c r="AC19" s="527"/>
      <c r="AD19" s="528"/>
      <c r="AE19" s="505"/>
      <c r="AF19" s="505"/>
      <c r="AG19" s="505"/>
      <c r="AH19" s="505"/>
      <c r="AI19" s="505"/>
      <c r="AJ19" s="505"/>
      <c r="AK19" s="505"/>
      <c r="AL19" s="505"/>
      <c r="AM19" s="505"/>
      <c r="AN19" s="505"/>
      <c r="AO19" s="505"/>
      <c r="AP19" s="505"/>
      <c r="AQ19" s="505"/>
      <c r="AR19" s="505"/>
      <c r="AS19" s="505"/>
      <c r="AT19" s="505"/>
      <c r="AU19" s="505"/>
      <c r="AV19" s="505"/>
      <c r="AW19" s="505"/>
      <c r="AX19" s="505"/>
      <c r="AY19" s="505"/>
      <c r="AZ19" s="505"/>
      <c r="BA19" s="505"/>
      <c r="BB19" s="505"/>
      <c r="BC19" s="505"/>
      <c r="BD19" s="505"/>
      <c r="BE19" s="505"/>
      <c r="BI19" s="121"/>
      <c r="BJ19" s="121"/>
      <c r="BK19" s="121"/>
      <c r="BL19" s="126"/>
      <c r="BM19" s="126"/>
      <c r="BN19" s="126"/>
      <c r="BO19" s="126"/>
      <c r="BP19" s="126"/>
      <c r="BQ19" s="126"/>
      <c r="BR19" s="126"/>
      <c r="BS19" s="126"/>
      <c r="BT19" s="126"/>
      <c r="BU19" s="126"/>
      <c r="BV19" s="126"/>
      <c r="BW19" s="126"/>
      <c r="BX19" s="126"/>
      <c r="BY19" s="126"/>
      <c r="BZ19" s="126"/>
      <c r="CA19" s="126"/>
      <c r="CB19" s="126"/>
      <c r="CC19" s="126"/>
    </row>
    <row r="20" spans="1:81" ht="12.6" customHeight="1" thickBot="1">
      <c r="A20" s="512" t="s">
        <v>263</v>
      </c>
      <c r="B20" s="512"/>
      <c r="C20" s="512"/>
      <c r="D20" s="620" t="str">
        <f>'秘書-input'!B14</f>
        <v>0/2/2</v>
      </c>
      <c r="E20" s="621"/>
      <c r="F20" s="621"/>
      <c r="G20" s="621"/>
      <c r="H20" s="621"/>
      <c r="I20" s="621"/>
      <c r="J20" s="621"/>
      <c r="K20" s="621"/>
      <c r="L20" s="621"/>
      <c r="M20" s="621"/>
      <c r="N20" s="621"/>
      <c r="O20" s="621"/>
      <c r="P20" s="621"/>
      <c r="Q20" s="621"/>
      <c r="R20" s="512" t="s">
        <v>269</v>
      </c>
      <c r="S20" s="512"/>
      <c r="T20" s="512"/>
      <c r="U20" s="599">
        <f ca="1">'秘書-input'!E11</f>
        <v>46.87945205479452</v>
      </c>
      <c r="V20" s="600"/>
      <c r="W20" s="600"/>
      <c r="X20" s="600"/>
      <c r="Y20" s="600"/>
      <c r="Z20" s="600"/>
      <c r="AA20" s="600"/>
      <c r="AB20" s="503" t="s">
        <v>270</v>
      </c>
      <c r="AC20" s="504"/>
      <c r="AD20" s="504"/>
      <c r="AE20" s="505"/>
      <c r="AF20" s="505"/>
      <c r="AG20" s="505"/>
      <c r="AH20" s="505"/>
      <c r="AI20" s="505"/>
      <c r="AJ20" s="505"/>
      <c r="AK20" s="505"/>
      <c r="AL20" s="505"/>
      <c r="AM20" s="505"/>
      <c r="AN20" s="505"/>
      <c r="AO20" s="505"/>
      <c r="AP20" s="505"/>
      <c r="AQ20" s="505"/>
      <c r="AR20" s="505"/>
      <c r="AS20" s="505"/>
      <c r="AT20" s="505"/>
      <c r="AU20" s="505"/>
      <c r="AV20" s="505"/>
      <c r="AW20" s="505"/>
      <c r="AX20" s="505"/>
      <c r="AY20" s="505"/>
      <c r="AZ20" s="505"/>
      <c r="BA20" s="505"/>
      <c r="BB20" s="505"/>
      <c r="BC20" s="505"/>
      <c r="BD20" s="505"/>
      <c r="BE20" s="505"/>
      <c r="BI20" s="121"/>
      <c r="BJ20" s="121"/>
      <c r="BK20" s="121"/>
      <c r="BL20" s="126"/>
      <c r="BM20" s="126"/>
      <c r="BN20" s="126"/>
      <c r="BO20" s="126"/>
      <c r="BP20" s="126"/>
      <c r="BQ20" s="126"/>
      <c r="BR20" s="126"/>
      <c r="BS20" s="126"/>
      <c r="BT20" s="126"/>
      <c r="BU20" s="126"/>
      <c r="BV20" s="126"/>
      <c r="BW20" s="126"/>
      <c r="BX20" s="126"/>
      <c r="BY20" s="126"/>
      <c r="BZ20" s="126"/>
      <c r="CA20" s="126"/>
      <c r="CB20" s="126"/>
      <c r="CC20" s="126"/>
    </row>
    <row r="21" spans="1:81" ht="12.6" customHeight="1" thickBot="1">
      <c r="A21" s="512"/>
      <c r="B21" s="512"/>
      <c r="C21" s="512"/>
      <c r="D21" s="621"/>
      <c r="E21" s="621"/>
      <c r="F21" s="621"/>
      <c r="G21" s="621"/>
      <c r="H21" s="621"/>
      <c r="I21" s="621"/>
      <c r="J21" s="621"/>
      <c r="K21" s="621"/>
      <c r="L21" s="621"/>
      <c r="M21" s="621"/>
      <c r="N21" s="621"/>
      <c r="O21" s="621"/>
      <c r="P21" s="621"/>
      <c r="Q21" s="621"/>
      <c r="R21" s="512"/>
      <c r="S21" s="512"/>
      <c r="T21" s="512"/>
      <c r="U21" s="601"/>
      <c r="V21" s="602"/>
      <c r="W21" s="602"/>
      <c r="X21" s="602"/>
      <c r="Y21" s="602"/>
      <c r="Z21" s="602"/>
      <c r="AA21" s="602"/>
      <c r="AB21" s="503"/>
      <c r="AC21" s="504"/>
      <c r="AD21" s="504"/>
      <c r="AE21" s="505"/>
      <c r="AF21" s="505"/>
      <c r="AG21" s="505"/>
      <c r="AH21" s="505"/>
      <c r="AI21" s="505"/>
      <c r="AJ21" s="505"/>
      <c r="AK21" s="505"/>
      <c r="AL21" s="505"/>
      <c r="AM21" s="505"/>
      <c r="AN21" s="505"/>
      <c r="AO21" s="505"/>
      <c r="AP21" s="505"/>
      <c r="AQ21" s="505"/>
      <c r="AR21" s="505"/>
      <c r="AS21" s="505"/>
      <c r="AT21" s="505"/>
      <c r="AU21" s="505"/>
      <c r="AV21" s="505"/>
      <c r="AW21" s="505"/>
      <c r="AX21" s="505"/>
      <c r="AY21" s="505"/>
      <c r="AZ21" s="505"/>
      <c r="BA21" s="505"/>
      <c r="BB21" s="505"/>
      <c r="BC21" s="505"/>
      <c r="BD21" s="505"/>
      <c r="BE21" s="505"/>
      <c r="BI21" s="121"/>
      <c r="BJ21" s="121"/>
      <c r="BK21" s="121"/>
      <c r="BL21" s="125"/>
      <c r="BM21" s="125"/>
      <c r="BN21" s="125"/>
      <c r="BO21" s="125"/>
      <c r="BP21" s="125"/>
      <c r="BQ21" s="125"/>
      <c r="BR21" s="125"/>
      <c r="BS21" s="125"/>
      <c r="BT21" s="125"/>
      <c r="BU21" s="125"/>
      <c r="BV21" s="125"/>
      <c r="BW21" s="125"/>
      <c r="BX21" s="125"/>
      <c r="BY21" s="125"/>
      <c r="BZ21" s="125"/>
      <c r="CA21" s="125"/>
      <c r="CB21" s="125"/>
      <c r="CC21" s="125"/>
    </row>
    <row r="22" spans="1:81" ht="12.6" customHeight="1" thickBot="1">
      <c r="A22" s="512"/>
      <c r="B22" s="512"/>
      <c r="C22" s="512"/>
      <c r="D22" s="621"/>
      <c r="E22" s="621"/>
      <c r="F22" s="621"/>
      <c r="G22" s="621"/>
      <c r="H22" s="621"/>
      <c r="I22" s="621"/>
      <c r="J22" s="621"/>
      <c r="K22" s="621"/>
      <c r="L22" s="621"/>
      <c r="M22" s="621"/>
      <c r="N22" s="621"/>
      <c r="O22" s="621"/>
      <c r="P22" s="621"/>
      <c r="Q22" s="621"/>
      <c r="R22" s="512"/>
      <c r="S22" s="512"/>
      <c r="T22" s="512"/>
      <c r="U22" s="603"/>
      <c r="V22" s="604"/>
      <c r="W22" s="604"/>
      <c r="X22" s="604"/>
      <c r="Y22" s="604"/>
      <c r="Z22" s="604"/>
      <c r="AA22" s="604"/>
      <c r="AB22" s="503"/>
      <c r="AC22" s="504"/>
      <c r="AD22" s="504"/>
      <c r="AE22" s="505"/>
      <c r="AF22" s="505"/>
      <c r="AG22" s="505"/>
      <c r="AH22" s="505"/>
      <c r="AI22" s="505"/>
      <c r="AJ22" s="505"/>
      <c r="AK22" s="505"/>
      <c r="AL22" s="505"/>
      <c r="AM22" s="505"/>
      <c r="AN22" s="505"/>
      <c r="AO22" s="505"/>
      <c r="AP22" s="505"/>
      <c r="AQ22" s="505"/>
      <c r="AR22" s="505"/>
      <c r="AS22" s="505"/>
      <c r="AT22" s="505"/>
      <c r="AU22" s="505"/>
      <c r="AV22" s="505"/>
      <c r="AW22" s="505"/>
      <c r="AX22" s="505"/>
      <c r="AY22" s="505"/>
      <c r="AZ22" s="505"/>
      <c r="BA22" s="505"/>
      <c r="BB22" s="505"/>
      <c r="BC22" s="505"/>
      <c r="BD22" s="505"/>
      <c r="BE22" s="505"/>
      <c r="BI22" s="121"/>
      <c r="BJ22" s="121"/>
      <c r="BK22" s="121"/>
      <c r="BL22" s="125"/>
      <c r="BM22" s="125"/>
      <c r="BN22" s="125"/>
      <c r="BO22" s="125"/>
      <c r="BP22" s="125"/>
      <c r="BQ22" s="125"/>
      <c r="BR22" s="125"/>
      <c r="BS22" s="125"/>
      <c r="BT22" s="125"/>
      <c r="BU22" s="125"/>
      <c r="BV22" s="125"/>
      <c r="BW22" s="125"/>
      <c r="BX22" s="125"/>
      <c r="BY22" s="125"/>
      <c r="BZ22" s="125"/>
      <c r="CA22" s="125"/>
      <c r="CB22" s="125"/>
      <c r="CC22" s="125"/>
    </row>
    <row r="23" spans="1:81" ht="12.6" customHeight="1" thickBot="1">
      <c r="A23" s="513" t="s">
        <v>264</v>
      </c>
      <c r="B23" s="513"/>
      <c r="C23" s="513"/>
      <c r="D23" s="515" t="str">
        <f>'秘書-input'!B56</f>
        <v/>
      </c>
      <c r="E23" s="515"/>
      <c r="F23" s="515"/>
      <c r="G23" s="515"/>
      <c r="H23" s="515"/>
      <c r="I23" s="515"/>
      <c r="J23" s="515"/>
      <c r="K23" s="515"/>
      <c r="L23" s="515"/>
      <c r="M23" s="515"/>
      <c r="N23" s="515"/>
      <c r="O23" s="515"/>
      <c r="P23" s="515"/>
      <c r="Q23" s="515"/>
      <c r="R23" s="515"/>
      <c r="S23" s="515"/>
      <c r="T23" s="515"/>
      <c r="U23" s="515"/>
      <c r="V23" s="515"/>
      <c r="W23" s="515"/>
      <c r="X23" s="515"/>
      <c r="Y23" s="515"/>
      <c r="Z23" s="515"/>
      <c r="AA23" s="515"/>
      <c r="AB23" s="515"/>
      <c r="AC23" s="515"/>
      <c r="AD23" s="515"/>
      <c r="AE23" s="505"/>
      <c r="AF23" s="505"/>
      <c r="AG23" s="505"/>
      <c r="AH23" s="505"/>
      <c r="AI23" s="505"/>
      <c r="AJ23" s="505"/>
      <c r="AK23" s="505"/>
      <c r="AL23" s="505"/>
      <c r="AM23" s="505"/>
      <c r="AN23" s="505"/>
      <c r="AO23" s="505"/>
      <c r="AP23" s="505"/>
      <c r="AQ23" s="505"/>
      <c r="AR23" s="505"/>
      <c r="AS23" s="505"/>
      <c r="AT23" s="505"/>
      <c r="AU23" s="505"/>
      <c r="AV23" s="505"/>
      <c r="AW23" s="505"/>
      <c r="AX23" s="505"/>
      <c r="AY23" s="505"/>
      <c r="AZ23" s="505"/>
      <c r="BA23" s="505"/>
      <c r="BB23" s="505"/>
      <c r="BC23" s="505"/>
      <c r="BD23" s="505"/>
      <c r="BE23" s="505"/>
      <c r="BI23" s="121"/>
      <c r="BJ23" s="121"/>
      <c r="BK23" s="121"/>
      <c r="BL23" s="125"/>
      <c r="BM23" s="125"/>
      <c r="BN23" s="125"/>
      <c r="BO23" s="125"/>
      <c r="BP23" s="125"/>
      <c r="BQ23" s="125"/>
      <c r="BR23" s="125"/>
      <c r="BS23" s="125"/>
      <c r="BT23" s="125"/>
      <c r="BU23" s="125"/>
      <c r="BV23" s="125"/>
      <c r="BW23" s="125"/>
      <c r="BX23" s="125"/>
      <c r="BY23" s="125"/>
      <c r="BZ23" s="125"/>
      <c r="CA23" s="125"/>
      <c r="CB23" s="125"/>
      <c r="CC23" s="125"/>
    </row>
    <row r="24" spans="1:81" ht="12.6" customHeight="1" thickBot="1">
      <c r="A24" s="513"/>
      <c r="B24" s="513"/>
      <c r="C24" s="513"/>
      <c r="D24" s="515"/>
      <c r="E24" s="515"/>
      <c r="F24" s="515"/>
      <c r="G24" s="515"/>
      <c r="H24" s="515"/>
      <c r="I24" s="515"/>
      <c r="J24" s="515"/>
      <c r="K24" s="515"/>
      <c r="L24" s="515"/>
      <c r="M24" s="515"/>
      <c r="N24" s="515"/>
      <c r="O24" s="515"/>
      <c r="P24" s="515"/>
      <c r="Q24" s="515"/>
      <c r="R24" s="515"/>
      <c r="S24" s="515"/>
      <c r="T24" s="515"/>
      <c r="U24" s="515"/>
      <c r="V24" s="515"/>
      <c r="W24" s="515"/>
      <c r="X24" s="515"/>
      <c r="Y24" s="515"/>
      <c r="Z24" s="515"/>
      <c r="AA24" s="515"/>
      <c r="AB24" s="515"/>
      <c r="AC24" s="515"/>
      <c r="AD24" s="515"/>
      <c r="AE24" s="505"/>
      <c r="AF24" s="505"/>
      <c r="AG24" s="505"/>
      <c r="AH24" s="505"/>
      <c r="AI24" s="505"/>
      <c r="AJ24" s="505"/>
      <c r="AK24" s="505"/>
      <c r="AL24" s="505"/>
      <c r="AM24" s="505"/>
      <c r="AN24" s="505"/>
      <c r="AO24" s="505"/>
      <c r="AP24" s="505"/>
      <c r="AQ24" s="505"/>
      <c r="AR24" s="505"/>
      <c r="AS24" s="505"/>
      <c r="AT24" s="505"/>
      <c r="AU24" s="505"/>
      <c r="AV24" s="505"/>
      <c r="AW24" s="505"/>
      <c r="AX24" s="505"/>
      <c r="AY24" s="505"/>
      <c r="AZ24" s="505"/>
      <c r="BA24" s="505"/>
      <c r="BB24" s="505"/>
      <c r="BC24" s="505"/>
      <c r="BD24" s="505"/>
      <c r="BE24" s="505"/>
      <c r="BI24" s="121"/>
      <c r="BJ24" s="121"/>
      <c r="BK24" s="121"/>
      <c r="BL24" s="125"/>
      <c r="BM24" s="125"/>
      <c r="BN24" s="125"/>
      <c r="BO24" s="125"/>
      <c r="BP24" s="125"/>
      <c r="BQ24" s="125"/>
      <c r="BR24" s="125"/>
      <c r="BS24" s="125"/>
      <c r="BT24" s="125"/>
      <c r="BU24" s="125"/>
      <c r="BV24" s="125"/>
      <c r="BW24" s="125"/>
      <c r="BX24" s="125"/>
      <c r="BY24" s="125"/>
      <c r="BZ24" s="125"/>
      <c r="CA24" s="125"/>
      <c r="CB24" s="125"/>
      <c r="CC24" s="125"/>
    </row>
    <row r="25" spans="1:81" ht="12.6" customHeight="1" thickBot="1">
      <c r="A25" s="513"/>
      <c r="B25" s="513"/>
      <c r="C25" s="513"/>
      <c r="D25" s="516"/>
      <c r="E25" s="516"/>
      <c r="F25" s="516"/>
      <c r="G25" s="516"/>
      <c r="H25" s="516"/>
      <c r="I25" s="516"/>
      <c r="J25" s="516"/>
      <c r="K25" s="516"/>
      <c r="L25" s="516"/>
      <c r="M25" s="516"/>
      <c r="N25" s="516"/>
      <c r="O25" s="516"/>
      <c r="P25" s="516"/>
      <c r="Q25" s="516"/>
      <c r="R25" s="516"/>
      <c r="S25" s="516"/>
      <c r="T25" s="516"/>
      <c r="U25" s="516"/>
      <c r="V25" s="516"/>
      <c r="W25" s="516"/>
      <c r="X25" s="516"/>
      <c r="Y25" s="516"/>
      <c r="Z25" s="516"/>
      <c r="AA25" s="516"/>
      <c r="AB25" s="516"/>
      <c r="AC25" s="516"/>
      <c r="AD25" s="516"/>
      <c r="AE25" s="505"/>
      <c r="AF25" s="505"/>
      <c r="AG25" s="505"/>
      <c r="AH25" s="505"/>
      <c r="AI25" s="505"/>
      <c r="AJ25" s="505"/>
      <c r="AK25" s="505"/>
      <c r="AL25" s="505"/>
      <c r="AM25" s="505"/>
      <c r="AN25" s="505"/>
      <c r="AO25" s="505"/>
      <c r="AP25" s="505"/>
      <c r="AQ25" s="505"/>
      <c r="AR25" s="505"/>
      <c r="AS25" s="505"/>
      <c r="AT25" s="505"/>
      <c r="AU25" s="505"/>
      <c r="AV25" s="505"/>
      <c r="AW25" s="505"/>
      <c r="AX25" s="505"/>
      <c r="AY25" s="505"/>
      <c r="AZ25" s="505"/>
      <c r="BA25" s="505"/>
      <c r="BB25" s="505"/>
      <c r="BC25" s="505"/>
      <c r="BD25" s="505"/>
      <c r="BE25" s="505"/>
    </row>
    <row r="26" spans="1:81" ht="12.6" customHeight="1" thickBot="1">
      <c r="A26" s="513"/>
      <c r="B26" s="513"/>
      <c r="C26" s="513"/>
      <c r="D26" s="514" t="str">
        <f>'秘書-input'!B57</f>
        <v/>
      </c>
      <c r="E26" s="514"/>
      <c r="F26" s="514"/>
      <c r="G26" s="514"/>
      <c r="H26" s="514"/>
      <c r="I26" s="514"/>
      <c r="J26" s="514"/>
      <c r="K26" s="514"/>
      <c r="L26" s="514"/>
      <c r="M26" s="514"/>
      <c r="N26" s="514"/>
      <c r="O26" s="514"/>
      <c r="P26" s="514"/>
      <c r="Q26" s="514"/>
      <c r="R26" s="514"/>
      <c r="S26" s="514"/>
      <c r="T26" s="514"/>
      <c r="U26" s="514"/>
      <c r="V26" s="514"/>
      <c r="W26" s="514"/>
      <c r="X26" s="514"/>
      <c r="Y26" s="514"/>
      <c r="Z26" s="514"/>
      <c r="AA26" s="514"/>
      <c r="AB26" s="514"/>
      <c r="AC26" s="514"/>
      <c r="AD26" s="514"/>
      <c r="AE26" s="505"/>
      <c r="AF26" s="505"/>
      <c r="AG26" s="505"/>
      <c r="AH26" s="505"/>
      <c r="AI26" s="505"/>
      <c r="AJ26" s="505"/>
      <c r="AK26" s="505"/>
      <c r="AL26" s="505"/>
      <c r="AM26" s="505"/>
      <c r="AN26" s="505"/>
      <c r="AO26" s="505"/>
      <c r="AP26" s="505"/>
      <c r="AQ26" s="505"/>
      <c r="AR26" s="505"/>
      <c r="AS26" s="505"/>
      <c r="AT26" s="505"/>
      <c r="AU26" s="505"/>
      <c r="AV26" s="505"/>
      <c r="AW26" s="505"/>
      <c r="AX26" s="505"/>
      <c r="AY26" s="505"/>
      <c r="AZ26" s="505"/>
      <c r="BA26" s="505"/>
      <c r="BB26" s="505"/>
      <c r="BC26" s="505"/>
      <c r="BD26" s="505"/>
      <c r="BE26" s="505"/>
    </row>
    <row r="27" spans="1:81" ht="12.6" customHeight="1" thickBot="1">
      <c r="A27" s="513"/>
      <c r="B27" s="513"/>
      <c r="C27" s="513"/>
      <c r="D27" s="515"/>
      <c r="E27" s="515"/>
      <c r="F27" s="515"/>
      <c r="G27" s="515"/>
      <c r="H27" s="515"/>
      <c r="I27" s="515"/>
      <c r="J27" s="515"/>
      <c r="K27" s="515"/>
      <c r="L27" s="515"/>
      <c r="M27" s="515"/>
      <c r="N27" s="515"/>
      <c r="O27" s="515"/>
      <c r="P27" s="515"/>
      <c r="Q27" s="515"/>
      <c r="R27" s="515"/>
      <c r="S27" s="515"/>
      <c r="T27" s="515"/>
      <c r="U27" s="515"/>
      <c r="V27" s="515"/>
      <c r="W27" s="515"/>
      <c r="X27" s="515"/>
      <c r="Y27" s="515"/>
      <c r="Z27" s="515"/>
      <c r="AA27" s="515"/>
      <c r="AB27" s="515"/>
      <c r="AC27" s="515"/>
      <c r="AD27" s="515"/>
      <c r="AE27" s="505"/>
      <c r="AF27" s="505"/>
      <c r="AG27" s="505"/>
      <c r="AH27" s="505"/>
      <c r="AI27" s="505"/>
      <c r="AJ27" s="505"/>
      <c r="AK27" s="505"/>
      <c r="AL27" s="505"/>
      <c r="AM27" s="505"/>
      <c r="AN27" s="505"/>
      <c r="AO27" s="505"/>
      <c r="AP27" s="505"/>
      <c r="AQ27" s="505"/>
      <c r="AR27" s="505"/>
      <c r="AS27" s="505"/>
      <c r="AT27" s="505"/>
      <c r="AU27" s="505"/>
      <c r="AV27" s="505"/>
      <c r="AW27" s="505"/>
      <c r="AX27" s="505"/>
      <c r="AY27" s="505"/>
      <c r="AZ27" s="505"/>
      <c r="BA27" s="505"/>
      <c r="BB27" s="505"/>
      <c r="BC27" s="505"/>
      <c r="BD27" s="505"/>
      <c r="BE27" s="505"/>
    </row>
    <row r="28" spans="1:81" ht="12.6" customHeight="1" thickBot="1">
      <c r="A28" s="513"/>
      <c r="B28" s="513"/>
      <c r="C28" s="513"/>
      <c r="D28" s="516"/>
      <c r="E28" s="516"/>
      <c r="F28" s="516"/>
      <c r="G28" s="516"/>
      <c r="H28" s="516"/>
      <c r="I28" s="516"/>
      <c r="J28" s="516"/>
      <c r="K28" s="516"/>
      <c r="L28" s="516"/>
      <c r="M28" s="516"/>
      <c r="N28" s="516"/>
      <c r="O28" s="516"/>
      <c r="P28" s="516"/>
      <c r="Q28" s="516"/>
      <c r="R28" s="516"/>
      <c r="S28" s="516"/>
      <c r="T28" s="516"/>
      <c r="U28" s="516"/>
      <c r="V28" s="516"/>
      <c r="W28" s="516"/>
      <c r="X28" s="516"/>
      <c r="Y28" s="516"/>
      <c r="Z28" s="516"/>
      <c r="AA28" s="516"/>
      <c r="AB28" s="516"/>
      <c r="AC28" s="516"/>
      <c r="AD28" s="516"/>
      <c r="AE28" s="505"/>
      <c r="AF28" s="505"/>
      <c r="AG28" s="505"/>
      <c r="AH28" s="505"/>
      <c r="AI28" s="505"/>
      <c r="AJ28" s="505"/>
      <c r="AK28" s="505"/>
      <c r="AL28" s="505"/>
      <c r="AM28" s="505"/>
      <c r="AN28" s="505"/>
      <c r="AO28" s="505"/>
      <c r="AP28" s="505"/>
      <c r="AQ28" s="505"/>
      <c r="AR28" s="505"/>
      <c r="AS28" s="505"/>
      <c r="AT28" s="505"/>
      <c r="AU28" s="505"/>
      <c r="AV28" s="505"/>
      <c r="AW28" s="505"/>
      <c r="AX28" s="505"/>
      <c r="AY28" s="505"/>
      <c r="AZ28" s="505"/>
      <c r="BA28" s="505"/>
      <c r="BB28" s="505"/>
      <c r="BC28" s="505"/>
      <c r="BD28" s="505"/>
      <c r="BE28" s="505"/>
    </row>
    <row r="29" spans="1:81" ht="12.6" customHeight="1" thickBot="1">
      <c r="A29" s="513"/>
      <c r="B29" s="513"/>
      <c r="C29" s="513"/>
      <c r="D29" s="514" t="str">
        <f>'秘書-input'!B58</f>
        <v/>
      </c>
      <c r="E29" s="514"/>
      <c r="F29" s="514"/>
      <c r="G29" s="514"/>
      <c r="H29" s="514"/>
      <c r="I29" s="514"/>
      <c r="J29" s="514"/>
      <c r="K29" s="514"/>
      <c r="L29" s="514"/>
      <c r="M29" s="514"/>
      <c r="N29" s="514"/>
      <c r="O29" s="514"/>
      <c r="P29" s="514"/>
      <c r="Q29" s="514"/>
      <c r="R29" s="514"/>
      <c r="S29" s="514"/>
      <c r="T29" s="514"/>
      <c r="U29" s="514"/>
      <c r="V29" s="514"/>
      <c r="W29" s="514"/>
      <c r="X29" s="514"/>
      <c r="Y29" s="514"/>
      <c r="Z29" s="514"/>
      <c r="AA29" s="514"/>
      <c r="AB29" s="514"/>
      <c r="AC29" s="514"/>
      <c r="AD29" s="514"/>
      <c r="AE29" s="505"/>
      <c r="AF29" s="505"/>
      <c r="AG29" s="505"/>
      <c r="AH29" s="505"/>
      <c r="AI29" s="505"/>
      <c r="AJ29" s="505"/>
      <c r="AK29" s="505"/>
      <c r="AL29" s="505"/>
      <c r="AM29" s="505"/>
      <c r="AN29" s="505"/>
      <c r="AO29" s="505"/>
      <c r="AP29" s="505"/>
      <c r="AQ29" s="505"/>
      <c r="AR29" s="505"/>
      <c r="AS29" s="505"/>
      <c r="AT29" s="505"/>
      <c r="AU29" s="505"/>
      <c r="AV29" s="505"/>
      <c r="AW29" s="505"/>
      <c r="AX29" s="505"/>
      <c r="AY29" s="505"/>
      <c r="AZ29" s="505"/>
      <c r="BA29" s="505"/>
      <c r="BB29" s="505"/>
      <c r="BC29" s="505"/>
      <c r="BD29" s="505"/>
      <c r="BE29" s="505"/>
    </row>
    <row r="30" spans="1:81" ht="12.6" customHeight="1" thickBot="1">
      <c r="A30" s="513"/>
      <c r="B30" s="513"/>
      <c r="C30" s="513"/>
      <c r="D30" s="515"/>
      <c r="E30" s="515"/>
      <c r="F30" s="515"/>
      <c r="G30" s="515"/>
      <c r="H30" s="515"/>
      <c r="I30" s="515"/>
      <c r="J30" s="515"/>
      <c r="K30" s="515"/>
      <c r="L30" s="515"/>
      <c r="M30" s="515"/>
      <c r="N30" s="515"/>
      <c r="O30" s="515"/>
      <c r="P30" s="515"/>
      <c r="Q30" s="515"/>
      <c r="R30" s="515"/>
      <c r="S30" s="515"/>
      <c r="T30" s="515"/>
      <c r="U30" s="515"/>
      <c r="V30" s="515"/>
      <c r="W30" s="515"/>
      <c r="X30" s="515"/>
      <c r="Y30" s="515"/>
      <c r="Z30" s="515"/>
      <c r="AA30" s="515"/>
      <c r="AB30" s="515"/>
      <c r="AC30" s="515"/>
      <c r="AD30" s="515"/>
      <c r="AE30" s="505"/>
      <c r="AF30" s="505"/>
      <c r="AG30" s="505"/>
      <c r="AH30" s="505"/>
      <c r="AI30" s="505"/>
      <c r="AJ30" s="505"/>
      <c r="AK30" s="505"/>
      <c r="AL30" s="505"/>
      <c r="AM30" s="505"/>
      <c r="AN30" s="505"/>
      <c r="AO30" s="505"/>
      <c r="AP30" s="505"/>
      <c r="AQ30" s="505"/>
      <c r="AR30" s="505"/>
      <c r="AS30" s="505"/>
      <c r="AT30" s="505"/>
      <c r="AU30" s="505"/>
      <c r="AV30" s="505"/>
      <c r="AW30" s="505"/>
      <c r="AX30" s="505"/>
      <c r="AY30" s="505"/>
      <c r="AZ30" s="505"/>
      <c r="BA30" s="505"/>
      <c r="BB30" s="505"/>
      <c r="BC30" s="505"/>
      <c r="BD30" s="505"/>
      <c r="BE30" s="505"/>
    </row>
    <row r="31" spans="1:81" ht="12.6" customHeight="1" thickBot="1">
      <c r="A31" s="513"/>
      <c r="B31" s="513"/>
      <c r="C31" s="513"/>
      <c r="D31" s="516"/>
      <c r="E31" s="516"/>
      <c r="F31" s="516"/>
      <c r="G31" s="516"/>
      <c r="H31" s="516"/>
      <c r="I31" s="516"/>
      <c r="J31" s="516"/>
      <c r="K31" s="516"/>
      <c r="L31" s="516"/>
      <c r="M31" s="516"/>
      <c r="N31" s="516"/>
      <c r="O31" s="516"/>
      <c r="P31" s="516"/>
      <c r="Q31" s="516"/>
      <c r="R31" s="516"/>
      <c r="S31" s="516"/>
      <c r="T31" s="516"/>
      <c r="U31" s="516"/>
      <c r="V31" s="516"/>
      <c r="W31" s="516"/>
      <c r="X31" s="516"/>
      <c r="Y31" s="516"/>
      <c r="Z31" s="516"/>
      <c r="AA31" s="516"/>
      <c r="AB31" s="516"/>
      <c r="AC31" s="516"/>
      <c r="AD31" s="516"/>
      <c r="AE31" s="505"/>
      <c r="AF31" s="505"/>
      <c r="AG31" s="505"/>
      <c r="AH31" s="505"/>
      <c r="AI31" s="505"/>
      <c r="AJ31" s="505"/>
      <c r="AK31" s="505"/>
      <c r="AL31" s="505"/>
      <c r="AM31" s="505"/>
      <c r="AN31" s="505"/>
      <c r="AO31" s="505"/>
      <c r="AP31" s="505"/>
      <c r="AQ31" s="505"/>
      <c r="AR31" s="505"/>
      <c r="AS31" s="505"/>
      <c r="AT31" s="505"/>
      <c r="AU31" s="505"/>
      <c r="AV31" s="505"/>
      <c r="AW31" s="505"/>
      <c r="AX31" s="505"/>
      <c r="AY31" s="505"/>
      <c r="AZ31" s="505"/>
      <c r="BA31" s="505"/>
      <c r="BB31" s="505"/>
      <c r="BC31" s="505"/>
      <c r="BD31" s="505"/>
      <c r="BE31" s="505"/>
    </row>
    <row r="32" spans="1:81" ht="12.6" customHeight="1" thickBot="1">
      <c r="A32" s="513"/>
      <c r="B32" s="513"/>
      <c r="C32" s="513"/>
      <c r="D32" s="514" t="str">
        <f>'秘書-input'!B59</f>
        <v/>
      </c>
      <c r="E32" s="514"/>
      <c r="F32" s="514"/>
      <c r="G32" s="514"/>
      <c r="H32" s="514"/>
      <c r="I32" s="514"/>
      <c r="J32" s="514"/>
      <c r="K32" s="514"/>
      <c r="L32" s="514"/>
      <c r="M32" s="514"/>
      <c r="N32" s="514"/>
      <c r="O32" s="514"/>
      <c r="P32" s="514"/>
      <c r="Q32" s="514"/>
      <c r="R32" s="514"/>
      <c r="S32" s="514"/>
      <c r="T32" s="514"/>
      <c r="U32" s="514"/>
      <c r="V32" s="514"/>
      <c r="W32" s="514"/>
      <c r="X32" s="514"/>
      <c r="Y32" s="514"/>
      <c r="Z32" s="514"/>
      <c r="AA32" s="514"/>
      <c r="AB32" s="514"/>
      <c r="AC32" s="514"/>
      <c r="AD32" s="514"/>
      <c r="AE32" s="505"/>
      <c r="AF32" s="505"/>
      <c r="AG32" s="505"/>
      <c r="AH32" s="505"/>
      <c r="AI32" s="505"/>
      <c r="AJ32" s="505"/>
      <c r="AK32" s="505"/>
      <c r="AL32" s="505"/>
      <c r="AM32" s="505"/>
      <c r="AN32" s="505"/>
      <c r="AO32" s="505"/>
      <c r="AP32" s="505"/>
      <c r="AQ32" s="505"/>
      <c r="AR32" s="505"/>
      <c r="AS32" s="505"/>
      <c r="AT32" s="505"/>
      <c r="AU32" s="505"/>
      <c r="AV32" s="505"/>
      <c r="AW32" s="505"/>
      <c r="AX32" s="505"/>
      <c r="AY32" s="505"/>
      <c r="AZ32" s="505"/>
      <c r="BA32" s="505"/>
      <c r="BB32" s="505"/>
      <c r="BC32" s="505"/>
      <c r="BD32" s="505"/>
      <c r="BE32" s="505"/>
    </row>
    <row r="33" spans="1:57" ht="12.6" customHeight="1" thickBot="1">
      <c r="A33" s="513"/>
      <c r="B33" s="513"/>
      <c r="C33" s="513"/>
      <c r="D33" s="515"/>
      <c r="E33" s="515"/>
      <c r="F33" s="515"/>
      <c r="G33" s="515"/>
      <c r="H33" s="515"/>
      <c r="I33" s="515"/>
      <c r="J33" s="515"/>
      <c r="K33" s="515"/>
      <c r="L33" s="515"/>
      <c r="M33" s="515"/>
      <c r="N33" s="515"/>
      <c r="O33" s="515"/>
      <c r="P33" s="515"/>
      <c r="Q33" s="515"/>
      <c r="R33" s="515"/>
      <c r="S33" s="515"/>
      <c r="T33" s="515"/>
      <c r="U33" s="515"/>
      <c r="V33" s="515"/>
      <c r="W33" s="515"/>
      <c r="X33" s="515"/>
      <c r="Y33" s="515"/>
      <c r="Z33" s="515"/>
      <c r="AA33" s="515"/>
      <c r="AB33" s="515"/>
      <c r="AC33" s="515"/>
      <c r="AD33" s="515"/>
      <c r="AE33" s="505"/>
      <c r="AF33" s="505"/>
      <c r="AG33" s="505"/>
      <c r="AH33" s="505"/>
      <c r="AI33" s="505"/>
      <c r="AJ33" s="505"/>
      <c r="AK33" s="505"/>
      <c r="AL33" s="505"/>
      <c r="AM33" s="505"/>
      <c r="AN33" s="505"/>
      <c r="AO33" s="505"/>
      <c r="AP33" s="505"/>
      <c r="AQ33" s="505"/>
      <c r="AR33" s="505"/>
      <c r="AS33" s="505"/>
      <c r="AT33" s="505"/>
      <c r="AU33" s="505"/>
      <c r="AV33" s="505"/>
      <c r="AW33" s="505"/>
      <c r="AX33" s="505"/>
      <c r="AY33" s="505"/>
      <c r="AZ33" s="505"/>
      <c r="BA33" s="505"/>
      <c r="BB33" s="505"/>
      <c r="BC33" s="505"/>
      <c r="BD33" s="505"/>
      <c r="BE33" s="505"/>
    </row>
    <row r="34" spans="1:57" ht="17.25" thickBot="1">
      <c r="A34" s="513"/>
      <c r="B34" s="513"/>
      <c r="C34" s="513"/>
      <c r="D34" s="515"/>
      <c r="E34" s="515"/>
      <c r="F34" s="515"/>
      <c r="G34" s="515"/>
      <c r="H34" s="515"/>
      <c r="I34" s="515"/>
      <c r="J34" s="515"/>
      <c r="K34" s="515"/>
      <c r="L34" s="515"/>
      <c r="M34" s="515"/>
      <c r="N34" s="515"/>
      <c r="O34" s="515"/>
      <c r="P34" s="515"/>
      <c r="Q34" s="515"/>
      <c r="R34" s="515"/>
      <c r="S34" s="515"/>
      <c r="T34" s="515"/>
      <c r="U34" s="515"/>
      <c r="V34" s="515"/>
      <c r="W34" s="515"/>
      <c r="X34" s="515"/>
      <c r="Y34" s="515"/>
      <c r="Z34" s="515"/>
      <c r="AA34" s="515"/>
      <c r="AB34" s="515"/>
      <c r="AC34" s="515"/>
      <c r="AD34" s="515"/>
      <c r="AE34" s="505"/>
      <c r="AF34" s="505"/>
      <c r="AG34" s="505"/>
      <c r="AH34" s="505"/>
      <c r="AI34" s="505"/>
      <c r="AJ34" s="505"/>
      <c r="AK34" s="505"/>
      <c r="AL34" s="505"/>
      <c r="AM34" s="505"/>
      <c r="AN34" s="505"/>
      <c r="AO34" s="505"/>
      <c r="AP34" s="505"/>
      <c r="AQ34" s="505"/>
      <c r="AR34" s="505"/>
      <c r="AS34" s="505"/>
      <c r="AT34" s="505"/>
      <c r="AU34" s="505"/>
      <c r="AV34" s="505"/>
      <c r="AW34" s="505"/>
      <c r="AX34" s="505"/>
      <c r="AY34" s="505"/>
      <c r="AZ34" s="505"/>
      <c r="BA34" s="505"/>
      <c r="BB34" s="505"/>
      <c r="BC34" s="505"/>
      <c r="BD34" s="505"/>
      <c r="BE34" s="505"/>
    </row>
    <row r="35" spans="1:57" ht="12.6" customHeight="1" thickBot="1">
      <c r="A35" s="560" t="s">
        <v>272</v>
      </c>
      <c r="B35" s="561"/>
      <c r="C35" s="561"/>
      <c r="D35" s="561"/>
      <c r="E35" s="561"/>
      <c r="F35" s="561"/>
      <c r="G35" s="561"/>
      <c r="H35" s="561"/>
      <c r="I35" s="561"/>
      <c r="J35" s="561"/>
      <c r="K35" s="561"/>
      <c r="L35" s="561"/>
      <c r="M35" s="561"/>
      <c r="N35" s="561"/>
      <c r="O35" s="561"/>
      <c r="P35" s="561"/>
      <c r="Q35" s="561"/>
      <c r="R35" s="561"/>
      <c r="S35" s="561"/>
      <c r="T35" s="561"/>
      <c r="U35" s="561"/>
      <c r="V35" s="561"/>
      <c r="W35" s="561"/>
      <c r="X35" s="561"/>
      <c r="Y35" s="561"/>
      <c r="Z35" s="561"/>
      <c r="AA35" s="561"/>
      <c r="AB35" s="561"/>
      <c r="AC35" s="561"/>
      <c r="AD35" s="562"/>
      <c r="AE35" s="544" t="s">
        <v>250</v>
      </c>
      <c r="AF35" s="544"/>
      <c r="AG35" s="544"/>
      <c r="AH35" s="544"/>
      <c r="AI35" s="544"/>
      <c r="AJ35" s="544"/>
      <c r="AK35" s="544"/>
      <c r="AL35" s="544"/>
      <c r="AM35" s="544"/>
      <c r="AN35" s="544"/>
      <c r="AO35" s="544"/>
      <c r="AP35" s="544"/>
      <c r="AQ35" s="544"/>
      <c r="AR35" s="544"/>
      <c r="AS35" s="544"/>
      <c r="AT35" s="544"/>
      <c r="AU35" s="544"/>
      <c r="AV35" s="544"/>
      <c r="AW35" s="544"/>
      <c r="AX35" s="544"/>
      <c r="AY35" s="544"/>
      <c r="AZ35" s="544"/>
      <c r="BA35" s="544"/>
      <c r="BB35" s="544"/>
      <c r="BC35" s="544"/>
      <c r="BD35" s="544"/>
      <c r="BE35" s="544"/>
    </row>
    <row r="36" spans="1:57" ht="12.6" customHeight="1" thickBot="1">
      <c r="A36" s="563"/>
      <c r="B36" s="564"/>
      <c r="C36" s="564"/>
      <c r="D36" s="564"/>
      <c r="E36" s="564"/>
      <c r="F36" s="564"/>
      <c r="G36" s="564"/>
      <c r="H36" s="564"/>
      <c r="I36" s="564"/>
      <c r="J36" s="564"/>
      <c r="K36" s="564"/>
      <c r="L36" s="564"/>
      <c r="M36" s="564"/>
      <c r="N36" s="564"/>
      <c r="O36" s="564"/>
      <c r="P36" s="564"/>
      <c r="Q36" s="564"/>
      <c r="R36" s="564"/>
      <c r="S36" s="564"/>
      <c r="T36" s="564"/>
      <c r="U36" s="564"/>
      <c r="V36" s="564"/>
      <c r="W36" s="564"/>
      <c r="X36" s="564"/>
      <c r="Y36" s="564"/>
      <c r="Z36" s="564"/>
      <c r="AA36" s="564"/>
      <c r="AB36" s="564"/>
      <c r="AC36" s="564"/>
      <c r="AD36" s="565"/>
      <c r="AE36" s="544"/>
      <c r="AF36" s="544"/>
      <c r="AG36" s="544"/>
      <c r="AH36" s="544"/>
      <c r="AI36" s="544"/>
      <c r="AJ36" s="544"/>
      <c r="AK36" s="544"/>
      <c r="AL36" s="544"/>
      <c r="AM36" s="544"/>
      <c r="AN36" s="544"/>
      <c r="AO36" s="544"/>
      <c r="AP36" s="544"/>
      <c r="AQ36" s="544"/>
      <c r="AR36" s="544"/>
      <c r="AS36" s="544"/>
      <c r="AT36" s="544"/>
      <c r="AU36" s="544"/>
      <c r="AV36" s="544"/>
      <c r="AW36" s="544"/>
      <c r="AX36" s="544"/>
      <c r="AY36" s="544"/>
      <c r="AZ36" s="544"/>
      <c r="BA36" s="544"/>
      <c r="BB36" s="544"/>
      <c r="BC36" s="544"/>
      <c r="BD36" s="544"/>
      <c r="BE36" s="544"/>
    </row>
    <row r="37" spans="1:57" ht="12.6" customHeight="1" thickBot="1">
      <c r="A37" s="563"/>
      <c r="B37" s="564"/>
      <c r="C37" s="564"/>
      <c r="D37" s="564"/>
      <c r="E37" s="564"/>
      <c r="F37" s="564"/>
      <c r="G37" s="564"/>
      <c r="H37" s="564"/>
      <c r="I37" s="564"/>
      <c r="J37" s="564"/>
      <c r="K37" s="564"/>
      <c r="L37" s="564"/>
      <c r="M37" s="564"/>
      <c r="N37" s="564"/>
      <c r="O37" s="564"/>
      <c r="P37" s="564"/>
      <c r="Q37" s="564"/>
      <c r="R37" s="564"/>
      <c r="S37" s="564"/>
      <c r="T37" s="564"/>
      <c r="U37" s="564"/>
      <c r="V37" s="564"/>
      <c r="W37" s="564"/>
      <c r="X37" s="564"/>
      <c r="Y37" s="564"/>
      <c r="Z37" s="564"/>
      <c r="AA37" s="564"/>
      <c r="AB37" s="564"/>
      <c r="AC37" s="564"/>
      <c r="AD37" s="565"/>
      <c r="AE37" s="544"/>
      <c r="AF37" s="544"/>
      <c r="AG37" s="544"/>
      <c r="AH37" s="544"/>
      <c r="AI37" s="544"/>
      <c r="AJ37" s="544"/>
      <c r="AK37" s="544"/>
      <c r="AL37" s="544"/>
      <c r="AM37" s="544"/>
      <c r="AN37" s="544"/>
      <c r="AO37" s="544"/>
      <c r="AP37" s="544"/>
      <c r="AQ37" s="544"/>
      <c r="AR37" s="544"/>
      <c r="AS37" s="544"/>
      <c r="AT37" s="544"/>
      <c r="AU37" s="544"/>
      <c r="AV37" s="544"/>
      <c r="AW37" s="544"/>
      <c r="AX37" s="544"/>
      <c r="AY37" s="544"/>
      <c r="AZ37" s="544"/>
      <c r="BA37" s="544"/>
      <c r="BB37" s="544"/>
      <c r="BC37" s="544"/>
      <c r="BD37" s="544"/>
      <c r="BE37" s="544"/>
    </row>
    <row r="38" spans="1:57" ht="12.6" customHeight="1" thickBot="1">
      <c r="A38" s="563"/>
      <c r="B38" s="564"/>
      <c r="C38" s="564"/>
      <c r="D38" s="564"/>
      <c r="E38" s="564"/>
      <c r="F38" s="564"/>
      <c r="G38" s="564"/>
      <c r="H38" s="564"/>
      <c r="I38" s="564"/>
      <c r="J38" s="564"/>
      <c r="K38" s="564"/>
      <c r="L38" s="564"/>
      <c r="M38" s="564"/>
      <c r="N38" s="564"/>
      <c r="O38" s="564"/>
      <c r="P38" s="564"/>
      <c r="Q38" s="564"/>
      <c r="R38" s="564"/>
      <c r="S38" s="564"/>
      <c r="T38" s="564"/>
      <c r="U38" s="564"/>
      <c r="V38" s="564"/>
      <c r="W38" s="564"/>
      <c r="X38" s="564"/>
      <c r="Y38" s="564"/>
      <c r="Z38" s="564"/>
      <c r="AA38" s="564"/>
      <c r="AB38" s="564"/>
      <c r="AC38" s="564"/>
      <c r="AD38" s="565"/>
      <c r="AE38" s="544"/>
      <c r="AF38" s="544"/>
      <c r="AG38" s="544"/>
      <c r="AH38" s="544"/>
      <c r="AI38" s="544"/>
      <c r="AJ38" s="544"/>
      <c r="AK38" s="544"/>
      <c r="AL38" s="544"/>
      <c r="AM38" s="544"/>
      <c r="AN38" s="544"/>
      <c r="AO38" s="544"/>
      <c r="AP38" s="544"/>
      <c r="AQ38" s="544"/>
      <c r="AR38" s="544"/>
      <c r="AS38" s="544"/>
      <c r="AT38" s="544"/>
      <c r="AU38" s="544"/>
      <c r="AV38" s="544"/>
      <c r="AW38" s="544"/>
      <c r="AX38" s="544"/>
      <c r="AY38" s="544"/>
      <c r="AZ38" s="544"/>
      <c r="BA38" s="544"/>
      <c r="BB38" s="544"/>
      <c r="BC38" s="544"/>
      <c r="BD38" s="544"/>
      <c r="BE38" s="544"/>
    </row>
    <row r="39" spans="1:57" ht="12.6" customHeight="1" thickBot="1">
      <c r="A39" s="563"/>
      <c r="B39" s="564"/>
      <c r="C39" s="564"/>
      <c r="D39" s="564"/>
      <c r="E39" s="564"/>
      <c r="F39" s="564"/>
      <c r="G39" s="564"/>
      <c r="H39" s="564"/>
      <c r="I39" s="564"/>
      <c r="J39" s="564"/>
      <c r="K39" s="564"/>
      <c r="L39" s="564"/>
      <c r="M39" s="564"/>
      <c r="N39" s="564"/>
      <c r="O39" s="564"/>
      <c r="P39" s="564"/>
      <c r="Q39" s="564"/>
      <c r="R39" s="564"/>
      <c r="S39" s="564"/>
      <c r="T39" s="564"/>
      <c r="U39" s="564"/>
      <c r="V39" s="564"/>
      <c r="W39" s="564"/>
      <c r="X39" s="564"/>
      <c r="Y39" s="564"/>
      <c r="Z39" s="564"/>
      <c r="AA39" s="564"/>
      <c r="AB39" s="564"/>
      <c r="AC39" s="564"/>
      <c r="AD39" s="565"/>
      <c r="AE39" s="544"/>
      <c r="AF39" s="544"/>
      <c r="AG39" s="544"/>
      <c r="AH39" s="544"/>
      <c r="AI39" s="544"/>
      <c r="AJ39" s="544"/>
      <c r="AK39" s="544"/>
      <c r="AL39" s="544"/>
      <c r="AM39" s="544"/>
      <c r="AN39" s="544"/>
      <c r="AO39" s="544"/>
      <c r="AP39" s="544"/>
      <c r="AQ39" s="544"/>
      <c r="AR39" s="544"/>
      <c r="AS39" s="544"/>
      <c r="AT39" s="544"/>
      <c r="AU39" s="544"/>
      <c r="AV39" s="544"/>
      <c r="AW39" s="544"/>
      <c r="AX39" s="544"/>
      <c r="AY39" s="544"/>
      <c r="AZ39" s="544"/>
      <c r="BA39" s="544"/>
      <c r="BB39" s="544"/>
      <c r="BC39" s="544"/>
      <c r="BD39" s="544"/>
      <c r="BE39" s="544"/>
    </row>
    <row r="40" spans="1:57" ht="12.6" customHeight="1" thickBot="1">
      <c r="A40" s="563"/>
      <c r="B40" s="564"/>
      <c r="C40" s="564"/>
      <c r="D40" s="564"/>
      <c r="E40" s="564"/>
      <c r="F40" s="564"/>
      <c r="G40" s="564"/>
      <c r="H40" s="564"/>
      <c r="I40" s="564"/>
      <c r="J40" s="564"/>
      <c r="K40" s="564"/>
      <c r="L40" s="564"/>
      <c r="M40" s="564"/>
      <c r="N40" s="564"/>
      <c r="O40" s="564"/>
      <c r="P40" s="564"/>
      <c r="Q40" s="564"/>
      <c r="R40" s="564"/>
      <c r="S40" s="564"/>
      <c r="T40" s="564"/>
      <c r="U40" s="564"/>
      <c r="V40" s="564"/>
      <c r="W40" s="564"/>
      <c r="X40" s="564"/>
      <c r="Y40" s="564"/>
      <c r="Z40" s="564"/>
      <c r="AA40" s="564"/>
      <c r="AB40" s="564"/>
      <c r="AC40" s="564"/>
      <c r="AD40" s="565"/>
      <c r="AE40" s="544"/>
      <c r="AF40" s="544"/>
      <c r="AG40" s="544"/>
      <c r="AH40" s="544"/>
      <c r="AI40" s="544"/>
      <c r="AJ40" s="544"/>
      <c r="AK40" s="544"/>
      <c r="AL40" s="544"/>
      <c r="AM40" s="544"/>
      <c r="AN40" s="544"/>
      <c r="AO40" s="544"/>
      <c r="AP40" s="544"/>
      <c r="AQ40" s="544"/>
      <c r="AR40" s="544"/>
      <c r="AS40" s="544"/>
      <c r="AT40" s="544"/>
      <c r="AU40" s="544"/>
      <c r="AV40" s="544"/>
      <c r="AW40" s="544"/>
      <c r="AX40" s="544"/>
      <c r="AY40" s="544"/>
      <c r="AZ40" s="544"/>
      <c r="BA40" s="544"/>
      <c r="BB40" s="544"/>
      <c r="BC40" s="544"/>
      <c r="BD40" s="544"/>
      <c r="BE40" s="544"/>
    </row>
    <row r="41" spans="1:57" ht="12.6" customHeight="1" thickBot="1">
      <c r="A41" s="563"/>
      <c r="B41" s="564"/>
      <c r="C41" s="564"/>
      <c r="D41" s="564"/>
      <c r="E41" s="564"/>
      <c r="F41" s="564"/>
      <c r="G41" s="564"/>
      <c r="H41" s="564"/>
      <c r="I41" s="564"/>
      <c r="J41" s="564"/>
      <c r="K41" s="564"/>
      <c r="L41" s="564"/>
      <c r="M41" s="564"/>
      <c r="N41" s="564"/>
      <c r="O41" s="564"/>
      <c r="P41" s="564"/>
      <c r="Q41" s="564"/>
      <c r="R41" s="564"/>
      <c r="S41" s="564"/>
      <c r="T41" s="564"/>
      <c r="U41" s="564"/>
      <c r="V41" s="564"/>
      <c r="W41" s="564"/>
      <c r="X41" s="564"/>
      <c r="Y41" s="564"/>
      <c r="Z41" s="564"/>
      <c r="AA41" s="564"/>
      <c r="AB41" s="564"/>
      <c r="AC41" s="564"/>
      <c r="AD41" s="565"/>
      <c r="AE41" s="544"/>
      <c r="AF41" s="544"/>
      <c r="AG41" s="544"/>
      <c r="AH41" s="544"/>
      <c r="AI41" s="544"/>
      <c r="AJ41" s="544"/>
      <c r="AK41" s="544"/>
      <c r="AL41" s="544"/>
      <c r="AM41" s="544"/>
      <c r="AN41" s="544"/>
      <c r="AO41" s="544"/>
      <c r="AP41" s="544"/>
      <c r="AQ41" s="544"/>
      <c r="AR41" s="544"/>
      <c r="AS41" s="544"/>
      <c r="AT41" s="544"/>
      <c r="AU41" s="544"/>
      <c r="AV41" s="544"/>
      <c r="AW41" s="544"/>
      <c r="AX41" s="544"/>
      <c r="AY41" s="544"/>
      <c r="AZ41" s="544"/>
      <c r="BA41" s="544"/>
      <c r="BB41" s="544"/>
      <c r="BC41" s="544"/>
      <c r="BD41" s="544"/>
      <c r="BE41" s="544"/>
    </row>
    <row r="42" spans="1:57" ht="12.6" customHeight="1" thickBot="1">
      <c r="A42" s="563"/>
      <c r="B42" s="564"/>
      <c r="C42" s="564"/>
      <c r="D42" s="564"/>
      <c r="E42" s="564"/>
      <c r="F42" s="564"/>
      <c r="G42" s="564"/>
      <c r="H42" s="564"/>
      <c r="I42" s="564"/>
      <c r="J42" s="564"/>
      <c r="K42" s="564"/>
      <c r="L42" s="564"/>
      <c r="M42" s="564"/>
      <c r="N42" s="564"/>
      <c r="O42" s="564"/>
      <c r="P42" s="564"/>
      <c r="Q42" s="564"/>
      <c r="R42" s="564"/>
      <c r="S42" s="564"/>
      <c r="T42" s="564"/>
      <c r="U42" s="564"/>
      <c r="V42" s="564"/>
      <c r="W42" s="564"/>
      <c r="X42" s="564"/>
      <c r="Y42" s="564"/>
      <c r="Z42" s="564"/>
      <c r="AA42" s="564"/>
      <c r="AB42" s="564"/>
      <c r="AC42" s="564"/>
      <c r="AD42" s="565"/>
      <c r="AE42" s="544"/>
      <c r="AF42" s="544"/>
      <c r="AG42" s="544"/>
      <c r="AH42" s="544"/>
      <c r="AI42" s="544"/>
      <c r="AJ42" s="544"/>
      <c r="AK42" s="544"/>
      <c r="AL42" s="544"/>
      <c r="AM42" s="544"/>
      <c r="AN42" s="544"/>
      <c r="AO42" s="544"/>
      <c r="AP42" s="544"/>
      <c r="AQ42" s="544"/>
      <c r="AR42" s="544"/>
      <c r="AS42" s="544"/>
      <c r="AT42" s="544"/>
      <c r="AU42" s="544"/>
      <c r="AV42" s="544"/>
      <c r="AW42" s="544"/>
      <c r="AX42" s="544"/>
      <c r="AY42" s="544"/>
      <c r="AZ42" s="544"/>
      <c r="BA42" s="544"/>
      <c r="BB42" s="544"/>
      <c r="BC42" s="544"/>
      <c r="BD42" s="544"/>
      <c r="BE42" s="544"/>
    </row>
    <row r="43" spans="1:57" ht="12.6" customHeight="1" thickBot="1">
      <c r="A43" s="133"/>
      <c r="B43" s="134"/>
      <c r="C43" s="134"/>
      <c r="D43" s="134"/>
      <c r="E43" s="134"/>
      <c r="F43" s="134"/>
      <c r="G43" s="134"/>
      <c r="H43" s="134"/>
      <c r="I43" s="134"/>
      <c r="J43" s="134"/>
      <c r="K43" s="134"/>
      <c r="L43" s="134"/>
      <c r="M43" s="134"/>
      <c r="N43" s="134"/>
      <c r="O43" s="134"/>
      <c r="P43" s="134"/>
      <c r="Q43" s="134"/>
      <c r="R43" s="134"/>
      <c r="S43" s="574" t="s">
        <v>273</v>
      </c>
      <c r="T43" s="574"/>
      <c r="U43" s="574"/>
      <c r="V43" s="574"/>
      <c r="W43" s="574"/>
      <c r="X43" s="574"/>
      <c r="Y43" s="574"/>
      <c r="Z43" s="574"/>
      <c r="AA43" s="574"/>
      <c r="AB43" s="574"/>
      <c r="AC43" s="574"/>
      <c r="AD43" s="575"/>
      <c r="AE43" s="544"/>
      <c r="AF43" s="544"/>
      <c r="AG43" s="544"/>
      <c r="AH43" s="544"/>
      <c r="AI43" s="544"/>
      <c r="AJ43" s="544"/>
      <c r="AK43" s="544"/>
      <c r="AL43" s="544"/>
      <c r="AM43" s="544"/>
      <c r="AN43" s="544"/>
      <c r="AO43" s="544"/>
      <c r="AP43" s="544"/>
      <c r="AQ43" s="544"/>
      <c r="AR43" s="544"/>
      <c r="AS43" s="544"/>
      <c r="AT43" s="544"/>
      <c r="AU43" s="544"/>
      <c r="AV43" s="544"/>
      <c r="AW43" s="544"/>
      <c r="AX43" s="544"/>
      <c r="AY43" s="544"/>
      <c r="AZ43" s="544"/>
      <c r="BA43" s="544"/>
      <c r="BB43" s="544"/>
      <c r="BC43" s="544"/>
      <c r="BD43" s="544"/>
      <c r="BE43" s="544"/>
    </row>
    <row r="44" spans="1:57" ht="12.6" customHeight="1" thickBot="1">
      <c r="A44" s="513" t="s">
        <v>155</v>
      </c>
      <c r="B44" s="513"/>
      <c r="C44" s="513"/>
      <c r="D44" s="593">
        <v>5500</v>
      </c>
      <c r="E44" s="594"/>
      <c r="F44" s="594"/>
      <c r="G44" s="594"/>
      <c r="H44" s="594"/>
      <c r="I44" s="594"/>
      <c r="J44" s="594"/>
      <c r="K44" s="594"/>
      <c r="L44" s="594"/>
      <c r="M44" s="594"/>
      <c r="N44" s="594"/>
      <c r="O44" s="594"/>
      <c r="P44" s="594"/>
      <c r="Q44" s="594"/>
      <c r="R44" s="582" t="s">
        <v>4</v>
      </c>
      <c r="S44" s="583"/>
      <c r="T44" s="583"/>
      <c r="U44" s="576" t="s">
        <v>248</v>
      </c>
      <c r="V44" s="577"/>
      <c r="W44" s="577"/>
      <c r="X44" s="605" t="s">
        <v>274</v>
      </c>
      <c r="Y44" s="606"/>
      <c r="Z44" s="606"/>
      <c r="AA44" s="606"/>
      <c r="AB44" s="606"/>
      <c r="AC44" s="606"/>
      <c r="AD44" s="607"/>
      <c r="AE44" s="544"/>
      <c r="AF44" s="544"/>
      <c r="AG44" s="544"/>
      <c r="AH44" s="544"/>
      <c r="AI44" s="544"/>
      <c r="AJ44" s="544"/>
      <c r="AK44" s="544"/>
      <c r="AL44" s="544"/>
      <c r="AM44" s="544"/>
      <c r="AN44" s="544"/>
      <c r="AO44" s="544"/>
      <c r="AP44" s="544"/>
      <c r="AQ44" s="544"/>
      <c r="AR44" s="544"/>
      <c r="AS44" s="544"/>
      <c r="AT44" s="544"/>
      <c r="AU44" s="544"/>
      <c r="AV44" s="544"/>
      <c r="AW44" s="544"/>
      <c r="AX44" s="544"/>
      <c r="AY44" s="544"/>
      <c r="AZ44" s="544"/>
      <c r="BA44" s="544"/>
      <c r="BB44" s="544"/>
      <c r="BC44" s="544"/>
      <c r="BD44" s="544"/>
      <c r="BE44" s="544"/>
    </row>
    <row r="45" spans="1:57" ht="12.6" customHeight="1" thickBot="1">
      <c r="A45" s="513"/>
      <c r="B45" s="513"/>
      <c r="C45" s="513"/>
      <c r="D45" s="595"/>
      <c r="E45" s="596"/>
      <c r="F45" s="596"/>
      <c r="G45" s="596"/>
      <c r="H45" s="596"/>
      <c r="I45" s="596"/>
      <c r="J45" s="596"/>
      <c r="K45" s="596"/>
      <c r="L45" s="596"/>
      <c r="M45" s="596"/>
      <c r="N45" s="596"/>
      <c r="O45" s="596"/>
      <c r="P45" s="596"/>
      <c r="Q45" s="596"/>
      <c r="R45" s="582"/>
      <c r="S45" s="583"/>
      <c r="T45" s="583"/>
      <c r="U45" s="578"/>
      <c r="V45" s="579"/>
      <c r="W45" s="579"/>
      <c r="X45" s="608"/>
      <c r="Y45" s="609"/>
      <c r="Z45" s="609"/>
      <c r="AA45" s="609"/>
      <c r="AB45" s="609"/>
      <c r="AC45" s="609"/>
      <c r="AD45" s="610"/>
      <c r="AE45" s="544"/>
      <c r="AF45" s="544"/>
      <c r="AG45" s="544"/>
      <c r="AH45" s="544"/>
      <c r="AI45" s="544"/>
      <c r="AJ45" s="544"/>
      <c r="AK45" s="544"/>
      <c r="AL45" s="544"/>
      <c r="AM45" s="544"/>
      <c r="AN45" s="544"/>
      <c r="AO45" s="544"/>
      <c r="AP45" s="544"/>
      <c r="AQ45" s="544"/>
      <c r="AR45" s="544"/>
      <c r="AS45" s="544"/>
      <c r="AT45" s="544"/>
      <c r="AU45" s="544"/>
      <c r="AV45" s="544"/>
      <c r="AW45" s="544"/>
      <c r="AX45" s="544"/>
      <c r="AY45" s="544"/>
      <c r="AZ45" s="544"/>
      <c r="BA45" s="544"/>
      <c r="BB45" s="544"/>
      <c r="BC45" s="544"/>
      <c r="BD45" s="544"/>
      <c r="BE45" s="544"/>
    </row>
    <row r="46" spans="1:57" ht="12.6" customHeight="1" thickBot="1">
      <c r="A46" s="513"/>
      <c r="B46" s="513"/>
      <c r="C46" s="513"/>
      <c r="D46" s="595"/>
      <c r="E46" s="596"/>
      <c r="F46" s="596"/>
      <c r="G46" s="596"/>
      <c r="H46" s="596"/>
      <c r="I46" s="596"/>
      <c r="J46" s="596"/>
      <c r="K46" s="596"/>
      <c r="L46" s="596"/>
      <c r="M46" s="596"/>
      <c r="N46" s="596"/>
      <c r="O46" s="596"/>
      <c r="P46" s="596"/>
      <c r="Q46" s="596"/>
      <c r="R46" s="582"/>
      <c r="S46" s="583"/>
      <c r="T46" s="583"/>
      <c r="U46" s="578"/>
      <c r="V46" s="579"/>
      <c r="W46" s="579"/>
      <c r="X46" s="608"/>
      <c r="Y46" s="609"/>
      <c r="Z46" s="609"/>
      <c r="AA46" s="609"/>
      <c r="AB46" s="609"/>
      <c r="AC46" s="609"/>
      <c r="AD46" s="610"/>
      <c r="AE46" s="544"/>
      <c r="AF46" s="544"/>
      <c r="AG46" s="544"/>
      <c r="AH46" s="544"/>
      <c r="AI46" s="544"/>
      <c r="AJ46" s="544"/>
      <c r="AK46" s="544"/>
      <c r="AL46" s="544"/>
      <c r="AM46" s="544"/>
      <c r="AN46" s="544"/>
      <c r="AO46" s="544"/>
      <c r="AP46" s="544"/>
      <c r="AQ46" s="544"/>
      <c r="AR46" s="544"/>
      <c r="AS46" s="544"/>
      <c r="AT46" s="544"/>
      <c r="AU46" s="544"/>
      <c r="AV46" s="544"/>
      <c r="AW46" s="544"/>
      <c r="AX46" s="544"/>
      <c r="AY46" s="544"/>
      <c r="AZ46" s="544"/>
      <c r="BA46" s="544"/>
      <c r="BB46" s="544"/>
      <c r="BC46" s="544"/>
      <c r="BD46" s="544"/>
      <c r="BE46" s="544"/>
    </row>
    <row r="47" spans="1:57" ht="12.6" customHeight="1" thickBot="1">
      <c r="A47" s="513"/>
      <c r="B47" s="513"/>
      <c r="C47" s="513"/>
      <c r="D47" s="595"/>
      <c r="E47" s="596"/>
      <c r="F47" s="596"/>
      <c r="G47" s="596"/>
      <c r="H47" s="596"/>
      <c r="I47" s="596"/>
      <c r="J47" s="596"/>
      <c r="K47" s="596"/>
      <c r="L47" s="596"/>
      <c r="M47" s="596"/>
      <c r="N47" s="596"/>
      <c r="O47" s="596"/>
      <c r="P47" s="596"/>
      <c r="Q47" s="596"/>
      <c r="R47" s="582"/>
      <c r="S47" s="583"/>
      <c r="T47" s="583"/>
      <c r="U47" s="578"/>
      <c r="V47" s="579"/>
      <c r="W47" s="579"/>
      <c r="X47" s="608"/>
      <c r="Y47" s="609"/>
      <c r="Z47" s="609"/>
      <c r="AA47" s="609"/>
      <c r="AB47" s="609"/>
      <c r="AC47" s="609"/>
      <c r="AD47" s="610"/>
      <c r="AE47" s="544"/>
      <c r="AF47" s="544"/>
      <c r="AG47" s="544"/>
      <c r="AH47" s="544"/>
      <c r="AI47" s="544"/>
      <c r="AJ47" s="544"/>
      <c r="AK47" s="544"/>
      <c r="AL47" s="544"/>
      <c r="AM47" s="544"/>
      <c r="AN47" s="544"/>
      <c r="AO47" s="544"/>
      <c r="AP47" s="544"/>
      <c r="AQ47" s="544"/>
      <c r="AR47" s="544"/>
      <c r="AS47" s="544"/>
      <c r="AT47" s="544"/>
      <c r="AU47" s="544"/>
      <c r="AV47" s="544"/>
      <c r="AW47" s="544"/>
      <c r="AX47" s="544"/>
      <c r="AY47" s="544"/>
      <c r="AZ47" s="544"/>
      <c r="BA47" s="544"/>
      <c r="BB47" s="544"/>
      <c r="BC47" s="544"/>
      <c r="BD47" s="544"/>
      <c r="BE47" s="544"/>
    </row>
    <row r="48" spans="1:57" ht="12.6" customHeight="1" thickBot="1">
      <c r="A48" s="513"/>
      <c r="B48" s="513"/>
      <c r="C48" s="513"/>
      <c r="D48" s="597"/>
      <c r="E48" s="598"/>
      <c r="F48" s="598"/>
      <c r="G48" s="598"/>
      <c r="H48" s="598"/>
      <c r="I48" s="598"/>
      <c r="J48" s="598"/>
      <c r="K48" s="598"/>
      <c r="L48" s="598"/>
      <c r="M48" s="598"/>
      <c r="N48" s="598"/>
      <c r="O48" s="598"/>
      <c r="P48" s="598"/>
      <c r="Q48" s="598"/>
      <c r="R48" s="582"/>
      <c r="S48" s="583"/>
      <c r="T48" s="583"/>
      <c r="U48" s="580"/>
      <c r="V48" s="581"/>
      <c r="W48" s="581"/>
      <c r="X48" s="611"/>
      <c r="Y48" s="612"/>
      <c r="Z48" s="612"/>
      <c r="AA48" s="612"/>
      <c r="AB48" s="612"/>
      <c r="AC48" s="612"/>
      <c r="AD48" s="613"/>
      <c r="AE48" s="544"/>
      <c r="AF48" s="544"/>
      <c r="AG48" s="544"/>
      <c r="AH48" s="544"/>
      <c r="AI48" s="544"/>
      <c r="AJ48" s="544"/>
      <c r="AK48" s="544"/>
      <c r="AL48" s="544"/>
      <c r="AM48" s="544"/>
      <c r="AN48" s="544"/>
      <c r="AO48" s="544"/>
      <c r="AP48" s="544"/>
      <c r="AQ48" s="544"/>
      <c r="AR48" s="544"/>
      <c r="AS48" s="544"/>
      <c r="AT48" s="544"/>
      <c r="AU48" s="544"/>
      <c r="AV48" s="544"/>
      <c r="AW48" s="544"/>
      <c r="AX48" s="544"/>
      <c r="AY48" s="544"/>
      <c r="AZ48" s="544"/>
      <c r="BA48" s="544"/>
      <c r="BB48" s="544"/>
      <c r="BC48" s="544"/>
      <c r="BD48" s="544"/>
      <c r="BE48" s="544"/>
    </row>
    <row r="49" spans="1:57" ht="12.6" customHeight="1" thickBot="1">
      <c r="A49" s="513" t="s">
        <v>156</v>
      </c>
      <c r="B49" s="513"/>
      <c r="C49" s="513"/>
      <c r="D49" s="614">
        <v>54.97</v>
      </c>
      <c r="E49" s="615"/>
      <c r="F49" s="615"/>
      <c r="G49" s="615"/>
      <c r="H49" s="615"/>
      <c r="I49" s="615"/>
      <c r="J49" s="615"/>
      <c r="K49" s="615"/>
      <c r="L49" s="615"/>
      <c r="M49" s="615"/>
      <c r="N49" s="615"/>
      <c r="O49" s="615"/>
      <c r="P49" s="615"/>
      <c r="Q49" s="615"/>
      <c r="R49" s="582" t="s">
        <v>3</v>
      </c>
      <c r="S49" s="583"/>
      <c r="T49" s="583"/>
      <c r="U49" s="584" t="s">
        <v>25</v>
      </c>
      <c r="V49" s="585"/>
      <c r="W49" s="585"/>
      <c r="X49" s="520" t="s">
        <v>54</v>
      </c>
      <c r="Y49" s="521"/>
      <c r="Z49" s="521"/>
      <c r="AA49" s="521"/>
      <c r="AB49" s="521"/>
      <c r="AC49" s="521"/>
      <c r="AD49" s="522"/>
      <c r="AE49" s="544"/>
      <c r="AF49" s="544"/>
      <c r="AG49" s="544"/>
      <c r="AH49" s="544"/>
      <c r="AI49" s="544"/>
      <c r="AJ49" s="544"/>
      <c r="AK49" s="544"/>
      <c r="AL49" s="544"/>
      <c r="AM49" s="544"/>
      <c r="AN49" s="544"/>
      <c r="AO49" s="544"/>
      <c r="AP49" s="544"/>
      <c r="AQ49" s="544"/>
      <c r="AR49" s="544"/>
      <c r="AS49" s="544"/>
      <c r="AT49" s="544"/>
      <c r="AU49" s="544"/>
      <c r="AV49" s="544"/>
      <c r="AW49" s="544"/>
      <c r="AX49" s="544"/>
      <c r="AY49" s="544"/>
      <c r="AZ49" s="544"/>
      <c r="BA49" s="544"/>
      <c r="BB49" s="544"/>
      <c r="BC49" s="544"/>
      <c r="BD49" s="544"/>
      <c r="BE49" s="544"/>
    </row>
    <row r="50" spans="1:57" ht="12.6" customHeight="1" thickBot="1">
      <c r="A50" s="513"/>
      <c r="B50" s="513"/>
      <c r="C50" s="513"/>
      <c r="D50" s="616"/>
      <c r="E50" s="617"/>
      <c r="F50" s="617"/>
      <c r="G50" s="617"/>
      <c r="H50" s="617"/>
      <c r="I50" s="617"/>
      <c r="J50" s="617"/>
      <c r="K50" s="617"/>
      <c r="L50" s="617"/>
      <c r="M50" s="617"/>
      <c r="N50" s="617"/>
      <c r="O50" s="617"/>
      <c r="P50" s="617"/>
      <c r="Q50" s="617"/>
      <c r="R50" s="582"/>
      <c r="S50" s="583"/>
      <c r="T50" s="583"/>
      <c r="U50" s="586"/>
      <c r="V50" s="587"/>
      <c r="W50" s="587"/>
      <c r="X50" s="523"/>
      <c r="Y50" s="524"/>
      <c r="Z50" s="524"/>
      <c r="AA50" s="524"/>
      <c r="AB50" s="524"/>
      <c r="AC50" s="524"/>
      <c r="AD50" s="525"/>
      <c r="AE50" s="544"/>
      <c r="AF50" s="544"/>
      <c r="AG50" s="544"/>
      <c r="AH50" s="544"/>
      <c r="AI50" s="544"/>
      <c r="AJ50" s="544"/>
      <c r="AK50" s="544"/>
      <c r="AL50" s="544"/>
      <c r="AM50" s="544"/>
      <c r="AN50" s="544"/>
      <c r="AO50" s="544"/>
      <c r="AP50" s="544"/>
      <c r="AQ50" s="544"/>
      <c r="AR50" s="544"/>
      <c r="AS50" s="544"/>
      <c r="AT50" s="544"/>
      <c r="AU50" s="544"/>
      <c r="AV50" s="544"/>
      <c r="AW50" s="544"/>
      <c r="AX50" s="544"/>
      <c r="AY50" s="544"/>
      <c r="AZ50" s="544"/>
      <c r="BA50" s="544"/>
      <c r="BB50" s="544"/>
      <c r="BC50" s="544"/>
      <c r="BD50" s="544"/>
      <c r="BE50" s="544"/>
    </row>
    <row r="51" spans="1:57" ht="12.6" customHeight="1" thickBot="1">
      <c r="A51" s="513"/>
      <c r="B51" s="513"/>
      <c r="C51" s="513"/>
      <c r="D51" s="616"/>
      <c r="E51" s="617"/>
      <c r="F51" s="617"/>
      <c r="G51" s="617"/>
      <c r="H51" s="617"/>
      <c r="I51" s="617"/>
      <c r="J51" s="617"/>
      <c r="K51" s="617"/>
      <c r="L51" s="617"/>
      <c r="M51" s="617"/>
      <c r="N51" s="617"/>
      <c r="O51" s="617"/>
      <c r="P51" s="617"/>
      <c r="Q51" s="617"/>
      <c r="R51" s="582"/>
      <c r="S51" s="583"/>
      <c r="T51" s="583"/>
      <c r="U51" s="586"/>
      <c r="V51" s="587"/>
      <c r="W51" s="587"/>
      <c r="X51" s="523"/>
      <c r="Y51" s="524"/>
      <c r="Z51" s="524"/>
      <c r="AA51" s="524"/>
      <c r="AB51" s="524"/>
      <c r="AC51" s="524"/>
      <c r="AD51" s="525"/>
      <c r="AE51" s="544"/>
      <c r="AF51" s="544"/>
      <c r="AG51" s="544"/>
      <c r="AH51" s="544"/>
      <c r="AI51" s="544"/>
      <c r="AJ51" s="544"/>
      <c r="AK51" s="544"/>
      <c r="AL51" s="544"/>
      <c r="AM51" s="544"/>
      <c r="AN51" s="544"/>
      <c r="AO51" s="544"/>
      <c r="AP51" s="544"/>
      <c r="AQ51" s="544"/>
      <c r="AR51" s="544"/>
      <c r="AS51" s="544"/>
      <c r="AT51" s="544"/>
      <c r="AU51" s="544"/>
      <c r="AV51" s="544"/>
      <c r="AW51" s="544"/>
      <c r="AX51" s="544"/>
      <c r="AY51" s="544"/>
      <c r="AZ51" s="544"/>
      <c r="BA51" s="544"/>
      <c r="BB51" s="544"/>
      <c r="BC51" s="544"/>
      <c r="BD51" s="544"/>
      <c r="BE51" s="544"/>
    </row>
    <row r="52" spans="1:57" ht="12.6" customHeight="1" thickBot="1">
      <c r="A52" s="513"/>
      <c r="B52" s="513"/>
      <c r="C52" s="513"/>
      <c r="D52" s="616"/>
      <c r="E52" s="617"/>
      <c r="F52" s="617"/>
      <c r="G52" s="617"/>
      <c r="H52" s="617"/>
      <c r="I52" s="617"/>
      <c r="J52" s="617"/>
      <c r="K52" s="617"/>
      <c r="L52" s="617"/>
      <c r="M52" s="617"/>
      <c r="N52" s="617"/>
      <c r="O52" s="617"/>
      <c r="P52" s="617"/>
      <c r="Q52" s="617"/>
      <c r="R52" s="582"/>
      <c r="S52" s="583"/>
      <c r="T52" s="583"/>
      <c r="U52" s="586"/>
      <c r="V52" s="587"/>
      <c r="W52" s="587"/>
      <c r="X52" s="523"/>
      <c r="Y52" s="524"/>
      <c r="Z52" s="524"/>
      <c r="AA52" s="524"/>
      <c r="AB52" s="524"/>
      <c r="AC52" s="524"/>
      <c r="AD52" s="525"/>
      <c r="AE52" s="544" t="s">
        <v>251</v>
      </c>
      <c r="AF52" s="544"/>
      <c r="AG52" s="544"/>
      <c r="AH52" s="544"/>
      <c r="AI52" s="544"/>
      <c r="AJ52" s="544"/>
      <c r="AK52" s="544"/>
      <c r="AL52" s="544"/>
      <c r="AM52" s="544"/>
      <c r="AN52" s="544"/>
      <c r="AO52" s="544"/>
      <c r="AP52" s="544"/>
      <c r="AQ52" s="544"/>
      <c r="AR52" s="544"/>
      <c r="AS52" s="544"/>
      <c r="AT52" s="544"/>
      <c r="AU52" s="544"/>
      <c r="AV52" s="544"/>
      <c r="AW52" s="544"/>
      <c r="AX52" s="544"/>
      <c r="AY52" s="544"/>
      <c r="AZ52" s="544"/>
      <c r="BA52" s="544"/>
      <c r="BB52" s="544"/>
      <c r="BC52" s="544"/>
      <c r="BD52" s="544"/>
      <c r="BE52" s="544"/>
    </row>
    <row r="53" spans="1:57" ht="12.6" customHeight="1" thickBot="1">
      <c r="A53" s="513"/>
      <c r="B53" s="513"/>
      <c r="C53" s="513"/>
      <c r="D53" s="618"/>
      <c r="E53" s="619"/>
      <c r="F53" s="619"/>
      <c r="G53" s="619"/>
      <c r="H53" s="619"/>
      <c r="I53" s="619"/>
      <c r="J53" s="619"/>
      <c r="K53" s="619"/>
      <c r="L53" s="619"/>
      <c r="M53" s="619"/>
      <c r="N53" s="619"/>
      <c r="O53" s="619"/>
      <c r="P53" s="619"/>
      <c r="Q53" s="619"/>
      <c r="R53" s="582"/>
      <c r="S53" s="583"/>
      <c r="T53" s="583"/>
      <c r="U53" s="588"/>
      <c r="V53" s="589"/>
      <c r="W53" s="589"/>
      <c r="X53" s="526"/>
      <c r="Y53" s="527"/>
      <c r="Z53" s="527"/>
      <c r="AA53" s="527"/>
      <c r="AB53" s="527"/>
      <c r="AC53" s="527"/>
      <c r="AD53" s="528"/>
      <c r="AE53" s="544"/>
      <c r="AF53" s="544"/>
      <c r="AG53" s="544"/>
      <c r="AH53" s="544"/>
      <c r="AI53" s="544"/>
      <c r="AJ53" s="544"/>
      <c r="AK53" s="544"/>
      <c r="AL53" s="544"/>
      <c r="AM53" s="544"/>
      <c r="AN53" s="544"/>
      <c r="AO53" s="544"/>
      <c r="AP53" s="544"/>
      <c r="AQ53" s="544"/>
      <c r="AR53" s="544"/>
      <c r="AS53" s="544"/>
      <c r="AT53" s="544"/>
      <c r="AU53" s="544"/>
      <c r="AV53" s="544"/>
      <c r="AW53" s="544"/>
      <c r="AX53" s="544"/>
      <c r="AY53" s="544"/>
      <c r="AZ53" s="544"/>
      <c r="BA53" s="544"/>
      <c r="BB53" s="544"/>
      <c r="BC53" s="544"/>
      <c r="BD53" s="544"/>
      <c r="BE53" s="544"/>
    </row>
    <row r="54" spans="1:57" ht="12.6" customHeight="1" thickBot="1">
      <c r="A54" s="512" t="s">
        <v>246</v>
      </c>
      <c r="B54" s="512"/>
      <c r="C54" s="512"/>
      <c r="D54" s="590" t="s">
        <v>275</v>
      </c>
      <c r="E54" s="591"/>
      <c r="F54" s="591"/>
      <c r="G54" s="591"/>
      <c r="H54" s="591"/>
      <c r="I54" s="591"/>
      <c r="J54" s="591"/>
      <c r="K54" s="591"/>
      <c r="L54" s="591"/>
      <c r="M54" s="591"/>
      <c r="N54" s="591"/>
      <c r="O54" s="591"/>
      <c r="P54" s="591"/>
      <c r="Q54" s="591"/>
      <c r="R54" s="592" t="s">
        <v>247</v>
      </c>
      <c r="S54" s="592"/>
      <c r="T54" s="592"/>
      <c r="U54" s="566">
        <v>33.299999999999997</v>
      </c>
      <c r="V54" s="567"/>
      <c r="W54" s="567"/>
      <c r="X54" s="567"/>
      <c r="Y54" s="567"/>
      <c r="Z54" s="567"/>
      <c r="AA54" s="567"/>
      <c r="AB54" s="572" t="s">
        <v>6</v>
      </c>
      <c r="AC54" s="573"/>
      <c r="AD54" s="573"/>
      <c r="AE54" s="544"/>
      <c r="AF54" s="544"/>
      <c r="AG54" s="544"/>
      <c r="AH54" s="544"/>
      <c r="AI54" s="544"/>
      <c r="AJ54" s="544"/>
      <c r="AK54" s="544"/>
      <c r="AL54" s="544"/>
      <c r="AM54" s="544"/>
      <c r="AN54" s="544"/>
      <c r="AO54" s="544"/>
      <c r="AP54" s="544"/>
      <c r="AQ54" s="544"/>
      <c r="AR54" s="544"/>
      <c r="AS54" s="544"/>
      <c r="AT54" s="544"/>
      <c r="AU54" s="544"/>
      <c r="AV54" s="544"/>
      <c r="AW54" s="544"/>
      <c r="AX54" s="544"/>
      <c r="AY54" s="544"/>
      <c r="AZ54" s="544"/>
      <c r="BA54" s="544"/>
      <c r="BB54" s="544"/>
      <c r="BC54" s="544"/>
      <c r="BD54" s="544"/>
      <c r="BE54" s="544"/>
    </row>
    <row r="55" spans="1:57" ht="12.6" customHeight="1" thickBot="1">
      <c r="A55" s="512"/>
      <c r="B55" s="512"/>
      <c r="C55" s="512"/>
      <c r="D55" s="591"/>
      <c r="E55" s="591"/>
      <c r="F55" s="591"/>
      <c r="G55" s="591"/>
      <c r="H55" s="591"/>
      <c r="I55" s="591"/>
      <c r="J55" s="591"/>
      <c r="K55" s="591"/>
      <c r="L55" s="591"/>
      <c r="M55" s="591"/>
      <c r="N55" s="591"/>
      <c r="O55" s="591"/>
      <c r="P55" s="591"/>
      <c r="Q55" s="591"/>
      <c r="R55" s="592"/>
      <c r="S55" s="592"/>
      <c r="T55" s="592"/>
      <c r="U55" s="568"/>
      <c r="V55" s="569"/>
      <c r="W55" s="569"/>
      <c r="X55" s="569"/>
      <c r="Y55" s="569"/>
      <c r="Z55" s="569"/>
      <c r="AA55" s="569"/>
      <c r="AB55" s="572"/>
      <c r="AC55" s="573"/>
      <c r="AD55" s="573"/>
      <c r="AE55" s="544"/>
      <c r="AF55" s="544"/>
      <c r="AG55" s="544"/>
      <c r="AH55" s="544"/>
      <c r="AI55" s="544"/>
      <c r="AJ55" s="544"/>
      <c r="AK55" s="544"/>
      <c r="AL55" s="544"/>
      <c r="AM55" s="544"/>
      <c r="AN55" s="544"/>
      <c r="AO55" s="544"/>
      <c r="AP55" s="544"/>
      <c r="AQ55" s="544"/>
      <c r="AR55" s="544"/>
      <c r="AS55" s="544"/>
      <c r="AT55" s="544"/>
      <c r="AU55" s="544"/>
      <c r="AV55" s="544"/>
      <c r="AW55" s="544"/>
      <c r="AX55" s="544"/>
      <c r="AY55" s="544"/>
      <c r="AZ55" s="544"/>
      <c r="BA55" s="544"/>
      <c r="BB55" s="544"/>
      <c r="BC55" s="544"/>
      <c r="BD55" s="544"/>
      <c r="BE55" s="544"/>
    </row>
    <row r="56" spans="1:57" ht="12.6" customHeight="1" thickBot="1">
      <c r="A56" s="512"/>
      <c r="B56" s="512"/>
      <c r="C56" s="512"/>
      <c r="D56" s="591"/>
      <c r="E56" s="591"/>
      <c r="F56" s="591"/>
      <c r="G56" s="591"/>
      <c r="H56" s="591"/>
      <c r="I56" s="591"/>
      <c r="J56" s="591"/>
      <c r="K56" s="591"/>
      <c r="L56" s="591"/>
      <c r="M56" s="591"/>
      <c r="N56" s="591"/>
      <c r="O56" s="591"/>
      <c r="P56" s="591"/>
      <c r="Q56" s="591"/>
      <c r="R56" s="592"/>
      <c r="S56" s="592"/>
      <c r="T56" s="592"/>
      <c r="U56" s="570"/>
      <c r="V56" s="571"/>
      <c r="W56" s="571"/>
      <c r="X56" s="571"/>
      <c r="Y56" s="571"/>
      <c r="Z56" s="571"/>
      <c r="AA56" s="571"/>
      <c r="AB56" s="572"/>
      <c r="AC56" s="573"/>
      <c r="AD56" s="573"/>
      <c r="AE56" s="544"/>
      <c r="AF56" s="544"/>
      <c r="AG56" s="544"/>
      <c r="AH56" s="544"/>
      <c r="AI56" s="544"/>
      <c r="AJ56" s="544"/>
      <c r="AK56" s="544"/>
      <c r="AL56" s="544"/>
      <c r="AM56" s="544"/>
      <c r="AN56" s="544"/>
      <c r="AO56" s="544"/>
      <c r="AP56" s="544"/>
      <c r="AQ56" s="544"/>
      <c r="AR56" s="544"/>
      <c r="AS56" s="544"/>
      <c r="AT56" s="544"/>
      <c r="AU56" s="544"/>
      <c r="AV56" s="544"/>
      <c r="AW56" s="544"/>
      <c r="AX56" s="544"/>
      <c r="AY56" s="544"/>
      <c r="AZ56" s="544"/>
      <c r="BA56" s="544"/>
      <c r="BB56" s="544"/>
      <c r="BC56" s="544"/>
      <c r="BD56" s="544"/>
      <c r="BE56" s="544"/>
    </row>
    <row r="57" spans="1:57" ht="12.6" customHeight="1" thickBot="1">
      <c r="A57" s="513" t="s">
        <v>252</v>
      </c>
      <c r="B57" s="513"/>
      <c r="C57" s="513"/>
      <c r="D57" s="557" t="s">
        <v>276</v>
      </c>
      <c r="E57" s="557"/>
      <c r="F57" s="557"/>
      <c r="G57" s="557"/>
      <c r="H57" s="557"/>
      <c r="I57" s="557"/>
      <c r="J57" s="557"/>
      <c r="K57" s="557"/>
      <c r="L57" s="557"/>
      <c r="M57" s="557"/>
      <c r="N57" s="557"/>
      <c r="O57" s="557"/>
      <c r="P57" s="557"/>
      <c r="Q57" s="557"/>
      <c r="R57" s="557"/>
      <c r="S57" s="557"/>
      <c r="T57" s="557"/>
      <c r="U57" s="557"/>
      <c r="V57" s="557"/>
      <c r="W57" s="557"/>
      <c r="X57" s="557"/>
      <c r="Y57" s="557"/>
      <c r="Z57" s="557"/>
      <c r="AA57" s="557"/>
      <c r="AB57" s="557"/>
      <c r="AC57" s="557"/>
      <c r="AD57" s="557"/>
      <c r="AE57" s="544"/>
      <c r="AF57" s="544"/>
      <c r="AG57" s="544"/>
      <c r="AH57" s="544"/>
      <c r="AI57" s="544"/>
      <c r="AJ57" s="544"/>
      <c r="AK57" s="544"/>
      <c r="AL57" s="544"/>
      <c r="AM57" s="544"/>
      <c r="AN57" s="544"/>
      <c r="AO57" s="544"/>
      <c r="AP57" s="544"/>
      <c r="AQ57" s="544"/>
      <c r="AR57" s="544"/>
      <c r="AS57" s="544"/>
      <c r="AT57" s="544"/>
      <c r="AU57" s="544"/>
      <c r="AV57" s="544"/>
      <c r="AW57" s="544"/>
      <c r="AX57" s="544"/>
      <c r="AY57" s="544"/>
      <c r="AZ57" s="544"/>
      <c r="BA57" s="544"/>
      <c r="BB57" s="544"/>
      <c r="BC57" s="544"/>
      <c r="BD57" s="544"/>
      <c r="BE57" s="544"/>
    </row>
    <row r="58" spans="1:57" ht="12.6" customHeight="1" thickBot="1">
      <c r="A58" s="513"/>
      <c r="B58" s="513"/>
      <c r="C58" s="513"/>
      <c r="D58" s="557"/>
      <c r="E58" s="557"/>
      <c r="F58" s="557"/>
      <c r="G58" s="557"/>
      <c r="H58" s="557"/>
      <c r="I58" s="557"/>
      <c r="J58" s="557"/>
      <c r="K58" s="557"/>
      <c r="L58" s="557"/>
      <c r="M58" s="557"/>
      <c r="N58" s="557"/>
      <c r="O58" s="557"/>
      <c r="P58" s="557"/>
      <c r="Q58" s="557"/>
      <c r="R58" s="557"/>
      <c r="S58" s="557"/>
      <c r="T58" s="557"/>
      <c r="U58" s="557"/>
      <c r="V58" s="557"/>
      <c r="W58" s="557"/>
      <c r="X58" s="557"/>
      <c r="Y58" s="557"/>
      <c r="Z58" s="557"/>
      <c r="AA58" s="557"/>
      <c r="AB58" s="557"/>
      <c r="AC58" s="557"/>
      <c r="AD58" s="557"/>
      <c r="AE58" s="544"/>
      <c r="AF58" s="544"/>
      <c r="AG58" s="544"/>
      <c r="AH58" s="544"/>
      <c r="AI58" s="544"/>
      <c r="AJ58" s="544"/>
      <c r="AK58" s="544"/>
      <c r="AL58" s="544"/>
      <c r="AM58" s="544"/>
      <c r="AN58" s="544"/>
      <c r="AO58" s="544"/>
      <c r="AP58" s="544"/>
      <c r="AQ58" s="544"/>
      <c r="AR58" s="544"/>
      <c r="AS58" s="544"/>
      <c r="AT58" s="544"/>
      <c r="AU58" s="544"/>
      <c r="AV58" s="544"/>
      <c r="AW58" s="544"/>
      <c r="AX58" s="544"/>
      <c r="AY58" s="544"/>
      <c r="AZ58" s="544"/>
      <c r="BA58" s="544"/>
      <c r="BB58" s="544"/>
      <c r="BC58" s="544"/>
      <c r="BD58" s="544"/>
      <c r="BE58" s="544"/>
    </row>
    <row r="59" spans="1:57" ht="12.6" customHeight="1" thickBot="1">
      <c r="A59" s="513"/>
      <c r="B59" s="513"/>
      <c r="C59" s="513"/>
      <c r="D59" s="558"/>
      <c r="E59" s="558"/>
      <c r="F59" s="558"/>
      <c r="G59" s="558"/>
      <c r="H59" s="558"/>
      <c r="I59" s="558"/>
      <c r="J59" s="558"/>
      <c r="K59" s="558"/>
      <c r="L59" s="558"/>
      <c r="M59" s="558"/>
      <c r="N59" s="558"/>
      <c r="O59" s="558"/>
      <c r="P59" s="558"/>
      <c r="Q59" s="558"/>
      <c r="R59" s="558"/>
      <c r="S59" s="558"/>
      <c r="T59" s="558"/>
      <c r="U59" s="558"/>
      <c r="V59" s="558"/>
      <c r="W59" s="558"/>
      <c r="X59" s="558"/>
      <c r="Y59" s="558"/>
      <c r="Z59" s="558"/>
      <c r="AA59" s="558"/>
      <c r="AB59" s="558"/>
      <c r="AC59" s="558"/>
      <c r="AD59" s="558"/>
      <c r="AE59" s="544"/>
      <c r="AF59" s="544"/>
      <c r="AG59" s="544"/>
      <c r="AH59" s="544"/>
      <c r="AI59" s="544"/>
      <c r="AJ59" s="544"/>
      <c r="AK59" s="544"/>
      <c r="AL59" s="544"/>
      <c r="AM59" s="544"/>
      <c r="AN59" s="544"/>
      <c r="AO59" s="544"/>
      <c r="AP59" s="544"/>
      <c r="AQ59" s="544"/>
      <c r="AR59" s="544"/>
      <c r="AS59" s="544"/>
      <c r="AT59" s="544"/>
      <c r="AU59" s="544"/>
      <c r="AV59" s="544"/>
      <c r="AW59" s="544"/>
      <c r="AX59" s="544"/>
      <c r="AY59" s="544"/>
      <c r="AZ59" s="544"/>
      <c r="BA59" s="544"/>
      <c r="BB59" s="544"/>
      <c r="BC59" s="544"/>
      <c r="BD59" s="544"/>
      <c r="BE59" s="544"/>
    </row>
    <row r="60" spans="1:57" ht="12.6" customHeight="1" thickBot="1">
      <c r="A60" s="513"/>
      <c r="B60" s="513"/>
      <c r="C60" s="513"/>
      <c r="D60" s="559" t="s">
        <v>277</v>
      </c>
      <c r="E60" s="559"/>
      <c r="F60" s="559"/>
      <c r="G60" s="559"/>
      <c r="H60" s="559"/>
      <c r="I60" s="559"/>
      <c r="J60" s="559"/>
      <c r="K60" s="559"/>
      <c r="L60" s="559"/>
      <c r="M60" s="559"/>
      <c r="N60" s="559"/>
      <c r="O60" s="559"/>
      <c r="P60" s="559"/>
      <c r="Q60" s="559"/>
      <c r="R60" s="559"/>
      <c r="S60" s="559"/>
      <c r="T60" s="559"/>
      <c r="U60" s="559"/>
      <c r="V60" s="559"/>
      <c r="W60" s="559"/>
      <c r="X60" s="559"/>
      <c r="Y60" s="559"/>
      <c r="Z60" s="559"/>
      <c r="AA60" s="559"/>
      <c r="AB60" s="559"/>
      <c r="AC60" s="559"/>
      <c r="AD60" s="559"/>
      <c r="AE60" s="544"/>
      <c r="AF60" s="544"/>
      <c r="AG60" s="544"/>
      <c r="AH60" s="544"/>
      <c r="AI60" s="544"/>
      <c r="AJ60" s="544"/>
      <c r="AK60" s="544"/>
      <c r="AL60" s="544"/>
      <c r="AM60" s="544"/>
      <c r="AN60" s="544"/>
      <c r="AO60" s="544"/>
      <c r="AP60" s="544"/>
      <c r="AQ60" s="544"/>
      <c r="AR60" s="544"/>
      <c r="AS60" s="544"/>
      <c r="AT60" s="544"/>
      <c r="AU60" s="544"/>
      <c r="AV60" s="544"/>
      <c r="AW60" s="544"/>
      <c r="AX60" s="544"/>
      <c r="AY60" s="544"/>
      <c r="AZ60" s="544"/>
      <c r="BA60" s="544"/>
      <c r="BB60" s="544"/>
      <c r="BC60" s="544"/>
      <c r="BD60" s="544"/>
      <c r="BE60" s="544"/>
    </row>
    <row r="61" spans="1:57" ht="12.6" customHeight="1" thickBot="1">
      <c r="A61" s="513"/>
      <c r="B61" s="513"/>
      <c r="C61" s="513"/>
      <c r="D61" s="557"/>
      <c r="E61" s="557"/>
      <c r="F61" s="557"/>
      <c r="G61" s="557"/>
      <c r="H61" s="557"/>
      <c r="I61" s="557"/>
      <c r="J61" s="557"/>
      <c r="K61" s="557"/>
      <c r="L61" s="557"/>
      <c r="M61" s="557"/>
      <c r="N61" s="557"/>
      <c r="O61" s="557"/>
      <c r="P61" s="557"/>
      <c r="Q61" s="557"/>
      <c r="R61" s="557"/>
      <c r="S61" s="557"/>
      <c r="T61" s="557"/>
      <c r="U61" s="557"/>
      <c r="V61" s="557"/>
      <c r="W61" s="557"/>
      <c r="X61" s="557"/>
      <c r="Y61" s="557"/>
      <c r="Z61" s="557"/>
      <c r="AA61" s="557"/>
      <c r="AB61" s="557"/>
      <c r="AC61" s="557"/>
      <c r="AD61" s="557"/>
      <c r="AE61" s="544"/>
      <c r="AF61" s="544"/>
      <c r="AG61" s="544"/>
      <c r="AH61" s="544"/>
      <c r="AI61" s="544"/>
      <c r="AJ61" s="544"/>
      <c r="AK61" s="544"/>
      <c r="AL61" s="544"/>
      <c r="AM61" s="544"/>
      <c r="AN61" s="544"/>
      <c r="AO61" s="544"/>
      <c r="AP61" s="544"/>
      <c r="AQ61" s="544"/>
      <c r="AR61" s="544"/>
      <c r="AS61" s="544"/>
      <c r="AT61" s="544"/>
      <c r="AU61" s="544"/>
      <c r="AV61" s="544"/>
      <c r="AW61" s="544"/>
      <c r="AX61" s="544"/>
      <c r="AY61" s="544"/>
      <c r="AZ61" s="544"/>
      <c r="BA61" s="544"/>
      <c r="BB61" s="544"/>
      <c r="BC61" s="544"/>
      <c r="BD61" s="544"/>
      <c r="BE61" s="544"/>
    </row>
    <row r="62" spans="1:57" ht="12.6" customHeight="1" thickBot="1">
      <c r="A62" s="513"/>
      <c r="B62" s="513"/>
      <c r="C62" s="513"/>
      <c r="D62" s="558"/>
      <c r="E62" s="558"/>
      <c r="F62" s="558"/>
      <c r="G62" s="558"/>
      <c r="H62" s="558"/>
      <c r="I62" s="558"/>
      <c r="J62" s="558"/>
      <c r="K62" s="558"/>
      <c r="L62" s="558"/>
      <c r="M62" s="558"/>
      <c r="N62" s="558"/>
      <c r="O62" s="558"/>
      <c r="P62" s="558"/>
      <c r="Q62" s="558"/>
      <c r="R62" s="558"/>
      <c r="S62" s="558"/>
      <c r="T62" s="558"/>
      <c r="U62" s="558"/>
      <c r="V62" s="558"/>
      <c r="W62" s="558"/>
      <c r="X62" s="558"/>
      <c r="Y62" s="558"/>
      <c r="Z62" s="558"/>
      <c r="AA62" s="558"/>
      <c r="AB62" s="558"/>
      <c r="AC62" s="558"/>
      <c r="AD62" s="558"/>
      <c r="AE62" s="544"/>
      <c r="AF62" s="544"/>
      <c r="AG62" s="544"/>
      <c r="AH62" s="544"/>
      <c r="AI62" s="544"/>
      <c r="AJ62" s="544"/>
      <c r="AK62" s="544"/>
      <c r="AL62" s="544"/>
      <c r="AM62" s="544"/>
      <c r="AN62" s="544"/>
      <c r="AO62" s="544"/>
      <c r="AP62" s="544"/>
      <c r="AQ62" s="544"/>
      <c r="AR62" s="544"/>
      <c r="AS62" s="544"/>
      <c r="AT62" s="544"/>
      <c r="AU62" s="544"/>
      <c r="AV62" s="544"/>
      <c r="AW62" s="544"/>
      <c r="AX62" s="544"/>
      <c r="AY62" s="544"/>
      <c r="AZ62" s="544"/>
      <c r="BA62" s="544"/>
      <c r="BB62" s="544"/>
      <c r="BC62" s="544"/>
      <c r="BD62" s="544"/>
      <c r="BE62" s="544"/>
    </row>
    <row r="63" spans="1:57" ht="12.6" customHeight="1" thickBot="1">
      <c r="A63" s="513"/>
      <c r="B63" s="513"/>
      <c r="C63" s="513"/>
      <c r="D63" s="559" t="s">
        <v>278</v>
      </c>
      <c r="E63" s="559"/>
      <c r="F63" s="559"/>
      <c r="G63" s="559"/>
      <c r="H63" s="559"/>
      <c r="I63" s="559"/>
      <c r="J63" s="559"/>
      <c r="K63" s="559"/>
      <c r="L63" s="559"/>
      <c r="M63" s="559"/>
      <c r="N63" s="559"/>
      <c r="O63" s="559"/>
      <c r="P63" s="559"/>
      <c r="Q63" s="559"/>
      <c r="R63" s="559"/>
      <c r="S63" s="559"/>
      <c r="T63" s="559"/>
      <c r="U63" s="559"/>
      <c r="V63" s="559"/>
      <c r="W63" s="559"/>
      <c r="X63" s="559"/>
      <c r="Y63" s="559"/>
      <c r="Z63" s="559"/>
      <c r="AA63" s="559"/>
      <c r="AB63" s="559"/>
      <c r="AC63" s="559"/>
      <c r="AD63" s="559"/>
      <c r="AE63" s="544"/>
      <c r="AF63" s="544"/>
      <c r="AG63" s="544"/>
      <c r="AH63" s="544"/>
      <c r="AI63" s="544"/>
      <c r="AJ63" s="544"/>
      <c r="AK63" s="544"/>
      <c r="AL63" s="544"/>
      <c r="AM63" s="544"/>
      <c r="AN63" s="544"/>
      <c r="AO63" s="544"/>
      <c r="AP63" s="544"/>
      <c r="AQ63" s="544"/>
      <c r="AR63" s="544"/>
      <c r="AS63" s="544"/>
      <c r="AT63" s="544"/>
      <c r="AU63" s="544"/>
      <c r="AV63" s="544"/>
      <c r="AW63" s="544"/>
      <c r="AX63" s="544"/>
      <c r="AY63" s="544"/>
      <c r="AZ63" s="544"/>
      <c r="BA63" s="544"/>
      <c r="BB63" s="544"/>
      <c r="BC63" s="544"/>
      <c r="BD63" s="544"/>
      <c r="BE63" s="544"/>
    </row>
    <row r="64" spans="1:57" ht="12.6" customHeight="1" thickBot="1">
      <c r="A64" s="513"/>
      <c r="B64" s="513"/>
      <c r="C64" s="513"/>
      <c r="D64" s="557"/>
      <c r="E64" s="557"/>
      <c r="F64" s="557"/>
      <c r="G64" s="557"/>
      <c r="H64" s="557"/>
      <c r="I64" s="557"/>
      <c r="J64" s="557"/>
      <c r="K64" s="557"/>
      <c r="L64" s="557"/>
      <c r="M64" s="557"/>
      <c r="N64" s="557"/>
      <c r="O64" s="557"/>
      <c r="P64" s="557"/>
      <c r="Q64" s="557"/>
      <c r="R64" s="557"/>
      <c r="S64" s="557"/>
      <c r="T64" s="557"/>
      <c r="U64" s="557"/>
      <c r="V64" s="557"/>
      <c r="W64" s="557"/>
      <c r="X64" s="557"/>
      <c r="Y64" s="557"/>
      <c r="Z64" s="557"/>
      <c r="AA64" s="557"/>
      <c r="AB64" s="557"/>
      <c r="AC64" s="557"/>
      <c r="AD64" s="557"/>
      <c r="AE64" s="544"/>
      <c r="AF64" s="544"/>
      <c r="AG64" s="544"/>
      <c r="AH64" s="544"/>
      <c r="AI64" s="544"/>
      <c r="AJ64" s="544"/>
      <c r="AK64" s="544"/>
      <c r="AL64" s="544"/>
      <c r="AM64" s="544"/>
      <c r="AN64" s="544"/>
      <c r="AO64" s="544"/>
      <c r="AP64" s="544"/>
      <c r="AQ64" s="544"/>
      <c r="AR64" s="544"/>
      <c r="AS64" s="544"/>
      <c r="AT64" s="544"/>
      <c r="AU64" s="544"/>
      <c r="AV64" s="544"/>
      <c r="AW64" s="544"/>
      <c r="AX64" s="544"/>
      <c r="AY64" s="544"/>
      <c r="AZ64" s="544"/>
      <c r="BA64" s="544"/>
      <c r="BB64" s="544"/>
      <c r="BC64" s="544"/>
      <c r="BD64" s="544"/>
      <c r="BE64" s="544"/>
    </row>
    <row r="65" spans="1:57" ht="12.6" customHeight="1" thickBot="1">
      <c r="A65" s="513"/>
      <c r="B65" s="513"/>
      <c r="C65" s="513"/>
      <c r="D65" s="558"/>
      <c r="E65" s="558"/>
      <c r="F65" s="558"/>
      <c r="G65" s="558"/>
      <c r="H65" s="558"/>
      <c r="I65" s="558"/>
      <c r="J65" s="558"/>
      <c r="K65" s="558"/>
      <c r="L65" s="558"/>
      <c r="M65" s="558"/>
      <c r="N65" s="558"/>
      <c r="O65" s="558"/>
      <c r="P65" s="558"/>
      <c r="Q65" s="558"/>
      <c r="R65" s="558"/>
      <c r="S65" s="558"/>
      <c r="T65" s="558"/>
      <c r="U65" s="558"/>
      <c r="V65" s="558"/>
      <c r="W65" s="558"/>
      <c r="X65" s="558"/>
      <c r="Y65" s="558"/>
      <c r="Z65" s="558"/>
      <c r="AA65" s="558"/>
      <c r="AB65" s="558"/>
      <c r="AC65" s="558"/>
      <c r="AD65" s="558"/>
      <c r="AE65" s="544"/>
      <c r="AF65" s="544"/>
      <c r="AG65" s="544"/>
      <c r="AH65" s="544"/>
      <c r="AI65" s="544"/>
      <c r="AJ65" s="544"/>
      <c r="AK65" s="544"/>
      <c r="AL65" s="544"/>
      <c r="AM65" s="544"/>
      <c r="AN65" s="544"/>
      <c r="AO65" s="544"/>
      <c r="AP65" s="544"/>
      <c r="AQ65" s="544"/>
      <c r="AR65" s="544"/>
      <c r="AS65" s="544"/>
      <c r="AT65" s="544"/>
      <c r="AU65" s="544"/>
      <c r="AV65" s="544"/>
      <c r="AW65" s="544"/>
      <c r="AX65" s="544"/>
      <c r="AY65" s="544"/>
      <c r="AZ65" s="544"/>
      <c r="BA65" s="544"/>
      <c r="BB65" s="544"/>
      <c r="BC65" s="544"/>
      <c r="BD65" s="544"/>
      <c r="BE65" s="544"/>
    </row>
    <row r="66" spans="1:57" ht="12.6" customHeight="1" thickBot="1">
      <c r="A66" s="513"/>
      <c r="B66" s="513"/>
      <c r="C66" s="513"/>
      <c r="D66" s="559" t="s">
        <v>279</v>
      </c>
      <c r="E66" s="559"/>
      <c r="F66" s="559"/>
      <c r="G66" s="559"/>
      <c r="H66" s="559"/>
      <c r="I66" s="559"/>
      <c r="J66" s="559"/>
      <c r="K66" s="559"/>
      <c r="L66" s="559"/>
      <c r="M66" s="559"/>
      <c r="N66" s="559"/>
      <c r="O66" s="559"/>
      <c r="P66" s="559"/>
      <c r="Q66" s="559"/>
      <c r="R66" s="559"/>
      <c r="S66" s="559"/>
      <c r="T66" s="559"/>
      <c r="U66" s="559"/>
      <c r="V66" s="559"/>
      <c r="W66" s="559"/>
      <c r="X66" s="559"/>
      <c r="Y66" s="559"/>
      <c r="Z66" s="559"/>
      <c r="AA66" s="559"/>
      <c r="AB66" s="559"/>
      <c r="AC66" s="559"/>
      <c r="AD66" s="559"/>
      <c r="AE66" s="544"/>
      <c r="AF66" s="544"/>
      <c r="AG66" s="544"/>
      <c r="AH66" s="544"/>
      <c r="AI66" s="544"/>
      <c r="AJ66" s="544"/>
      <c r="AK66" s="544"/>
      <c r="AL66" s="544"/>
      <c r="AM66" s="544"/>
      <c r="AN66" s="544"/>
      <c r="AO66" s="544"/>
      <c r="AP66" s="544"/>
      <c r="AQ66" s="544"/>
      <c r="AR66" s="544"/>
      <c r="AS66" s="544"/>
      <c r="AT66" s="544"/>
      <c r="AU66" s="544"/>
      <c r="AV66" s="544"/>
      <c r="AW66" s="544"/>
      <c r="AX66" s="544"/>
      <c r="AY66" s="544"/>
      <c r="AZ66" s="544"/>
      <c r="BA66" s="544"/>
      <c r="BB66" s="544"/>
      <c r="BC66" s="544"/>
      <c r="BD66" s="544"/>
      <c r="BE66" s="544"/>
    </row>
    <row r="67" spans="1:57" ht="12.6" customHeight="1" thickBot="1">
      <c r="A67" s="513"/>
      <c r="B67" s="513"/>
      <c r="C67" s="513"/>
      <c r="D67" s="557"/>
      <c r="E67" s="557"/>
      <c r="F67" s="557"/>
      <c r="G67" s="557"/>
      <c r="H67" s="557"/>
      <c r="I67" s="557"/>
      <c r="J67" s="557"/>
      <c r="K67" s="557"/>
      <c r="L67" s="557"/>
      <c r="M67" s="557"/>
      <c r="N67" s="557"/>
      <c r="O67" s="557"/>
      <c r="P67" s="557"/>
      <c r="Q67" s="557"/>
      <c r="R67" s="557"/>
      <c r="S67" s="557"/>
      <c r="T67" s="557"/>
      <c r="U67" s="557"/>
      <c r="V67" s="557"/>
      <c r="W67" s="557"/>
      <c r="X67" s="557"/>
      <c r="Y67" s="557"/>
      <c r="Z67" s="557"/>
      <c r="AA67" s="557"/>
      <c r="AB67" s="557"/>
      <c r="AC67" s="557"/>
      <c r="AD67" s="557"/>
      <c r="AE67" s="544"/>
      <c r="AF67" s="544"/>
      <c r="AG67" s="544"/>
      <c r="AH67" s="544"/>
      <c r="AI67" s="544"/>
      <c r="AJ67" s="544"/>
      <c r="AK67" s="544"/>
      <c r="AL67" s="544"/>
      <c r="AM67" s="544"/>
      <c r="AN67" s="544"/>
      <c r="AO67" s="544"/>
      <c r="AP67" s="544"/>
      <c r="AQ67" s="544"/>
      <c r="AR67" s="544"/>
      <c r="AS67" s="544"/>
      <c r="AT67" s="544"/>
      <c r="AU67" s="544"/>
      <c r="AV67" s="544"/>
      <c r="AW67" s="544"/>
      <c r="AX67" s="544"/>
      <c r="AY67" s="544"/>
      <c r="AZ67" s="544"/>
      <c r="BA67" s="544"/>
      <c r="BB67" s="544"/>
      <c r="BC67" s="544"/>
      <c r="BD67" s="544"/>
      <c r="BE67" s="544"/>
    </row>
    <row r="68" spans="1:57" ht="12.6" customHeight="1" thickBot="1">
      <c r="A68" s="513"/>
      <c r="B68" s="513"/>
      <c r="C68" s="513"/>
      <c r="D68" s="557"/>
      <c r="E68" s="557"/>
      <c r="F68" s="557"/>
      <c r="G68" s="557"/>
      <c r="H68" s="557"/>
      <c r="I68" s="557"/>
      <c r="J68" s="557"/>
      <c r="K68" s="557"/>
      <c r="L68" s="557"/>
      <c r="M68" s="557"/>
      <c r="N68" s="557"/>
      <c r="O68" s="557"/>
      <c r="P68" s="557"/>
      <c r="Q68" s="557"/>
      <c r="R68" s="557"/>
      <c r="S68" s="557"/>
      <c r="T68" s="557"/>
      <c r="U68" s="557"/>
      <c r="V68" s="557"/>
      <c r="W68" s="557"/>
      <c r="X68" s="557"/>
      <c r="Y68" s="557"/>
      <c r="Z68" s="557"/>
      <c r="AA68" s="557"/>
      <c r="AB68" s="557"/>
      <c r="AC68" s="557"/>
      <c r="AD68" s="557"/>
      <c r="AE68" s="544"/>
      <c r="AF68" s="544"/>
      <c r="AG68" s="544"/>
      <c r="AH68" s="544"/>
      <c r="AI68" s="544"/>
      <c r="AJ68" s="544"/>
      <c r="AK68" s="544"/>
      <c r="AL68" s="544"/>
      <c r="AM68" s="544"/>
      <c r="AN68" s="544"/>
      <c r="AO68" s="544"/>
      <c r="AP68" s="544"/>
      <c r="AQ68" s="544"/>
      <c r="AR68" s="544"/>
      <c r="AS68" s="544"/>
      <c r="AT68" s="544"/>
      <c r="AU68" s="544"/>
      <c r="AV68" s="544"/>
      <c r="AW68" s="544"/>
      <c r="AX68" s="544"/>
      <c r="AY68" s="544"/>
      <c r="AZ68" s="544"/>
      <c r="BA68" s="544"/>
      <c r="BB68" s="544"/>
      <c r="BC68" s="544"/>
      <c r="BD68" s="544"/>
      <c r="BE68" s="544"/>
    </row>
  </sheetData>
  <mergeCells count="49">
    <mergeCell ref="A44:C48"/>
    <mergeCell ref="D44:Q48"/>
    <mergeCell ref="R44:T48"/>
    <mergeCell ref="A49:C53"/>
    <mergeCell ref="U20:AA22"/>
    <mergeCell ref="X44:AD48"/>
    <mergeCell ref="D49:Q53"/>
    <mergeCell ref="D23:AD25"/>
    <mergeCell ref="D26:AD28"/>
    <mergeCell ref="D20:Q22"/>
    <mergeCell ref="U54:AA56"/>
    <mergeCell ref="AB54:AD56"/>
    <mergeCell ref="S43:AD43"/>
    <mergeCell ref="U44:W48"/>
    <mergeCell ref="D66:AD68"/>
    <mergeCell ref="R49:T53"/>
    <mergeCell ref="U49:W53"/>
    <mergeCell ref="X49:AD53"/>
    <mergeCell ref="D54:Q56"/>
    <mergeCell ref="R54:T56"/>
    <mergeCell ref="AE52:BE68"/>
    <mergeCell ref="AE35:BE51"/>
    <mergeCell ref="D15:Q19"/>
    <mergeCell ref="U10:W14"/>
    <mergeCell ref="A57:C68"/>
    <mergeCell ref="D57:AD59"/>
    <mergeCell ref="D60:AD62"/>
    <mergeCell ref="D63:AD65"/>
    <mergeCell ref="A35:AD42"/>
    <mergeCell ref="A54:C56"/>
    <mergeCell ref="D29:AD31"/>
    <mergeCell ref="U9:W9"/>
    <mergeCell ref="X9:AD9"/>
    <mergeCell ref="X15:AD19"/>
    <mergeCell ref="A15:C19"/>
    <mergeCell ref="R15:T19"/>
    <mergeCell ref="A10:C14"/>
    <mergeCell ref="D10:Q14"/>
    <mergeCell ref="X10:AD14"/>
    <mergeCell ref="A1:AD8"/>
    <mergeCell ref="R10:T14"/>
    <mergeCell ref="AE1:BE17"/>
    <mergeCell ref="AE18:BE34"/>
    <mergeCell ref="U15:W19"/>
    <mergeCell ref="A20:C22"/>
    <mergeCell ref="A23:C34"/>
    <mergeCell ref="D32:AD34"/>
    <mergeCell ref="AB20:AD22"/>
    <mergeCell ref="R20:T22"/>
  </mergeCells>
  <phoneticPr fontId="2" type="noConversion"/>
  <pageMargins left="0.15748031496062992" right="0.15748031496062992" top="0.19685039370078741" bottom="0.19685039370078741" header="0.19685039370078741" footer="0.19685039370078741"/>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C68"/>
  <sheetViews>
    <sheetView zoomScale="75" workbookViewId="0">
      <selection activeCell="D13" sqref="D13:AD17"/>
    </sheetView>
  </sheetViews>
  <sheetFormatPr defaultColWidth="1.75" defaultRowHeight="12.6" customHeight="1"/>
  <cols>
    <col min="1" max="34" width="1.75" style="94"/>
    <col min="35" max="35" width="1.625" style="94" customWidth="1"/>
    <col min="36" max="16384" width="1.75" style="94"/>
  </cols>
  <sheetData>
    <row r="1" spans="1:81" ht="12.6" customHeight="1">
      <c r="A1" s="637" t="str">
        <f>'秘書-input'!B1</f>
        <v>西門黃金店面</v>
      </c>
      <c r="B1" s="638"/>
      <c r="C1" s="638"/>
      <c r="D1" s="638"/>
      <c r="E1" s="638"/>
      <c r="F1" s="638"/>
      <c r="G1" s="638"/>
      <c r="H1" s="638"/>
      <c r="I1" s="638"/>
      <c r="J1" s="638"/>
      <c r="K1" s="638"/>
      <c r="L1" s="638"/>
      <c r="M1" s="638"/>
      <c r="N1" s="638"/>
      <c r="O1" s="638"/>
      <c r="P1" s="638"/>
      <c r="Q1" s="638"/>
      <c r="R1" s="638"/>
      <c r="S1" s="638"/>
      <c r="T1" s="638"/>
      <c r="U1" s="638"/>
      <c r="V1" s="638"/>
      <c r="W1" s="638"/>
      <c r="X1" s="638"/>
      <c r="Y1" s="638"/>
      <c r="Z1" s="638"/>
      <c r="AA1" s="638"/>
      <c r="AB1" s="638"/>
      <c r="AC1" s="638"/>
      <c r="AD1" s="638"/>
      <c r="AE1" s="638"/>
      <c r="AF1" s="638"/>
      <c r="AG1" s="638"/>
      <c r="AH1" s="638"/>
      <c r="AI1" s="638"/>
      <c r="AJ1" s="638"/>
      <c r="AK1" s="638"/>
      <c r="AL1" s="638"/>
      <c r="AM1" s="638"/>
      <c r="AN1" s="638"/>
      <c r="AO1" s="638"/>
      <c r="AP1" s="638"/>
      <c r="AQ1" s="638"/>
      <c r="AR1" s="638"/>
      <c r="AS1" s="638"/>
      <c r="AT1" s="638"/>
      <c r="AU1" s="638"/>
      <c r="AV1" s="638"/>
      <c r="AW1" s="638"/>
      <c r="AX1" s="638"/>
      <c r="AY1" s="638"/>
      <c r="AZ1" s="638"/>
      <c r="BA1" s="638"/>
      <c r="BB1" s="638"/>
      <c r="BC1" s="638"/>
      <c r="BD1" s="638"/>
      <c r="BE1" s="639"/>
    </row>
    <row r="2" spans="1:81" ht="12.6" customHeight="1">
      <c r="A2" s="640"/>
      <c r="B2" s="641"/>
      <c r="C2" s="641"/>
      <c r="D2" s="641"/>
      <c r="E2" s="641"/>
      <c r="F2" s="641"/>
      <c r="G2" s="641"/>
      <c r="H2" s="641"/>
      <c r="I2" s="641"/>
      <c r="J2" s="641"/>
      <c r="K2" s="641"/>
      <c r="L2" s="641"/>
      <c r="M2" s="641"/>
      <c r="N2" s="641"/>
      <c r="O2" s="641"/>
      <c r="P2" s="641"/>
      <c r="Q2" s="641"/>
      <c r="R2" s="641"/>
      <c r="S2" s="641"/>
      <c r="T2" s="641"/>
      <c r="U2" s="641"/>
      <c r="V2" s="641"/>
      <c r="W2" s="641"/>
      <c r="X2" s="641"/>
      <c r="Y2" s="641"/>
      <c r="Z2" s="641"/>
      <c r="AA2" s="641"/>
      <c r="AB2" s="641"/>
      <c r="AC2" s="641"/>
      <c r="AD2" s="641"/>
      <c r="AE2" s="641"/>
      <c r="AF2" s="641"/>
      <c r="AG2" s="641"/>
      <c r="AH2" s="641"/>
      <c r="AI2" s="641"/>
      <c r="AJ2" s="641"/>
      <c r="AK2" s="641"/>
      <c r="AL2" s="641"/>
      <c r="AM2" s="641"/>
      <c r="AN2" s="641"/>
      <c r="AO2" s="641"/>
      <c r="AP2" s="641"/>
      <c r="AQ2" s="641"/>
      <c r="AR2" s="641"/>
      <c r="AS2" s="641"/>
      <c r="AT2" s="641"/>
      <c r="AU2" s="641"/>
      <c r="AV2" s="641"/>
      <c r="AW2" s="641"/>
      <c r="AX2" s="641"/>
      <c r="AY2" s="641"/>
      <c r="AZ2" s="641"/>
      <c r="BA2" s="641"/>
      <c r="BB2" s="641"/>
      <c r="BC2" s="641"/>
      <c r="BD2" s="641"/>
      <c r="BE2" s="642"/>
    </row>
    <row r="3" spans="1:81" ht="12.6" customHeight="1">
      <c r="A3" s="640"/>
      <c r="B3" s="641"/>
      <c r="C3" s="641"/>
      <c r="D3" s="641"/>
      <c r="E3" s="641"/>
      <c r="F3" s="641"/>
      <c r="G3" s="641"/>
      <c r="H3" s="641"/>
      <c r="I3" s="641"/>
      <c r="J3" s="641"/>
      <c r="K3" s="641"/>
      <c r="L3" s="641"/>
      <c r="M3" s="641"/>
      <c r="N3" s="641"/>
      <c r="O3" s="641"/>
      <c r="P3" s="641"/>
      <c r="Q3" s="641"/>
      <c r="R3" s="641"/>
      <c r="S3" s="641"/>
      <c r="T3" s="641"/>
      <c r="U3" s="641"/>
      <c r="V3" s="641"/>
      <c r="W3" s="641"/>
      <c r="X3" s="641"/>
      <c r="Y3" s="641"/>
      <c r="Z3" s="641"/>
      <c r="AA3" s="641"/>
      <c r="AB3" s="641"/>
      <c r="AC3" s="641"/>
      <c r="AD3" s="641"/>
      <c r="AE3" s="641"/>
      <c r="AF3" s="641"/>
      <c r="AG3" s="641"/>
      <c r="AH3" s="641"/>
      <c r="AI3" s="641"/>
      <c r="AJ3" s="641"/>
      <c r="AK3" s="641"/>
      <c r="AL3" s="641"/>
      <c r="AM3" s="641"/>
      <c r="AN3" s="641"/>
      <c r="AO3" s="641"/>
      <c r="AP3" s="641"/>
      <c r="AQ3" s="641"/>
      <c r="AR3" s="641"/>
      <c r="AS3" s="641"/>
      <c r="AT3" s="641"/>
      <c r="AU3" s="641"/>
      <c r="AV3" s="641"/>
      <c r="AW3" s="641"/>
      <c r="AX3" s="641"/>
      <c r="AY3" s="641"/>
      <c r="AZ3" s="641"/>
      <c r="BA3" s="641"/>
      <c r="BB3" s="641"/>
      <c r="BC3" s="641"/>
      <c r="BD3" s="641"/>
      <c r="BE3" s="642"/>
    </row>
    <row r="4" spans="1:81" ht="12.6" customHeight="1">
      <c r="A4" s="640"/>
      <c r="B4" s="641"/>
      <c r="C4" s="641"/>
      <c r="D4" s="641"/>
      <c r="E4" s="641"/>
      <c r="F4" s="641"/>
      <c r="G4" s="641"/>
      <c r="H4" s="641"/>
      <c r="I4" s="641"/>
      <c r="J4" s="641"/>
      <c r="K4" s="641"/>
      <c r="L4" s="641"/>
      <c r="M4" s="641"/>
      <c r="N4" s="641"/>
      <c r="O4" s="641"/>
      <c r="P4" s="641"/>
      <c r="Q4" s="641"/>
      <c r="R4" s="641"/>
      <c r="S4" s="641"/>
      <c r="T4" s="641"/>
      <c r="U4" s="641"/>
      <c r="V4" s="641"/>
      <c r="W4" s="641"/>
      <c r="X4" s="641"/>
      <c r="Y4" s="641"/>
      <c r="Z4" s="641"/>
      <c r="AA4" s="641"/>
      <c r="AB4" s="641"/>
      <c r="AC4" s="641"/>
      <c r="AD4" s="641"/>
      <c r="AE4" s="641"/>
      <c r="AF4" s="641"/>
      <c r="AG4" s="641"/>
      <c r="AH4" s="641"/>
      <c r="AI4" s="641"/>
      <c r="AJ4" s="641"/>
      <c r="AK4" s="641"/>
      <c r="AL4" s="641"/>
      <c r="AM4" s="641"/>
      <c r="AN4" s="641"/>
      <c r="AO4" s="641"/>
      <c r="AP4" s="641"/>
      <c r="AQ4" s="641"/>
      <c r="AR4" s="641"/>
      <c r="AS4" s="641"/>
      <c r="AT4" s="641"/>
      <c r="AU4" s="641"/>
      <c r="AV4" s="641"/>
      <c r="AW4" s="641"/>
      <c r="AX4" s="641"/>
      <c r="AY4" s="641"/>
      <c r="AZ4" s="641"/>
      <c r="BA4" s="641"/>
      <c r="BB4" s="641"/>
      <c r="BC4" s="641"/>
      <c r="BD4" s="641"/>
      <c r="BE4" s="642"/>
    </row>
    <row r="5" spans="1:81" ht="12.6" customHeight="1">
      <c r="A5" s="640"/>
      <c r="B5" s="641"/>
      <c r="C5" s="641"/>
      <c r="D5" s="641"/>
      <c r="E5" s="641"/>
      <c r="F5" s="641"/>
      <c r="G5" s="641"/>
      <c r="H5" s="641"/>
      <c r="I5" s="641"/>
      <c r="J5" s="641"/>
      <c r="K5" s="641"/>
      <c r="L5" s="641"/>
      <c r="M5" s="641"/>
      <c r="N5" s="641"/>
      <c r="O5" s="641"/>
      <c r="P5" s="641"/>
      <c r="Q5" s="641"/>
      <c r="R5" s="641"/>
      <c r="S5" s="641"/>
      <c r="T5" s="641"/>
      <c r="U5" s="641"/>
      <c r="V5" s="641"/>
      <c r="W5" s="641"/>
      <c r="X5" s="641"/>
      <c r="Y5" s="641"/>
      <c r="Z5" s="641"/>
      <c r="AA5" s="641"/>
      <c r="AB5" s="641"/>
      <c r="AC5" s="641"/>
      <c r="AD5" s="641"/>
      <c r="AE5" s="641"/>
      <c r="AF5" s="641"/>
      <c r="AG5" s="641"/>
      <c r="AH5" s="641"/>
      <c r="AI5" s="641"/>
      <c r="AJ5" s="641"/>
      <c r="AK5" s="641"/>
      <c r="AL5" s="641"/>
      <c r="AM5" s="641"/>
      <c r="AN5" s="641"/>
      <c r="AO5" s="641"/>
      <c r="AP5" s="641"/>
      <c r="AQ5" s="641"/>
      <c r="AR5" s="641"/>
      <c r="AS5" s="641"/>
      <c r="AT5" s="641"/>
      <c r="AU5" s="641"/>
      <c r="AV5" s="641"/>
      <c r="AW5" s="641"/>
      <c r="AX5" s="641"/>
      <c r="AY5" s="641"/>
      <c r="AZ5" s="641"/>
      <c r="BA5" s="641"/>
      <c r="BB5" s="641"/>
      <c r="BC5" s="641"/>
      <c r="BD5" s="641"/>
      <c r="BE5" s="642"/>
    </row>
    <row r="6" spans="1:81" ht="12.6" customHeight="1">
      <c r="A6" s="640"/>
      <c r="B6" s="641"/>
      <c r="C6" s="641"/>
      <c r="D6" s="641"/>
      <c r="E6" s="641"/>
      <c r="F6" s="641"/>
      <c r="G6" s="641"/>
      <c r="H6" s="641"/>
      <c r="I6" s="641"/>
      <c r="J6" s="641"/>
      <c r="K6" s="641"/>
      <c r="L6" s="641"/>
      <c r="M6" s="641"/>
      <c r="N6" s="641"/>
      <c r="O6" s="641"/>
      <c r="P6" s="641"/>
      <c r="Q6" s="641"/>
      <c r="R6" s="641"/>
      <c r="S6" s="641"/>
      <c r="T6" s="641"/>
      <c r="U6" s="641"/>
      <c r="V6" s="641"/>
      <c r="W6" s="641"/>
      <c r="X6" s="641"/>
      <c r="Y6" s="641"/>
      <c r="Z6" s="641"/>
      <c r="AA6" s="641"/>
      <c r="AB6" s="641"/>
      <c r="AC6" s="641"/>
      <c r="AD6" s="641"/>
      <c r="AE6" s="641"/>
      <c r="AF6" s="641"/>
      <c r="AG6" s="641"/>
      <c r="AH6" s="641"/>
      <c r="AI6" s="641"/>
      <c r="AJ6" s="641"/>
      <c r="AK6" s="641"/>
      <c r="AL6" s="641"/>
      <c r="AM6" s="641"/>
      <c r="AN6" s="641"/>
      <c r="AO6" s="641"/>
      <c r="AP6" s="641"/>
      <c r="AQ6" s="641"/>
      <c r="AR6" s="641"/>
      <c r="AS6" s="641"/>
      <c r="AT6" s="641"/>
      <c r="AU6" s="641"/>
      <c r="AV6" s="641"/>
      <c r="AW6" s="641"/>
      <c r="AX6" s="641"/>
      <c r="AY6" s="641"/>
      <c r="AZ6" s="641"/>
      <c r="BA6" s="641"/>
      <c r="BB6" s="641"/>
      <c r="BC6" s="641"/>
      <c r="BD6" s="641"/>
      <c r="BE6" s="642"/>
    </row>
    <row r="7" spans="1:81" ht="12.6" customHeight="1">
      <c r="A7" s="640"/>
      <c r="B7" s="641"/>
      <c r="C7" s="641"/>
      <c r="D7" s="641"/>
      <c r="E7" s="641"/>
      <c r="F7" s="641"/>
      <c r="G7" s="641"/>
      <c r="H7" s="641"/>
      <c r="I7" s="641"/>
      <c r="J7" s="641"/>
      <c r="K7" s="641"/>
      <c r="L7" s="641"/>
      <c r="M7" s="641"/>
      <c r="N7" s="641"/>
      <c r="O7" s="641"/>
      <c r="P7" s="641"/>
      <c r="Q7" s="641"/>
      <c r="R7" s="641"/>
      <c r="S7" s="641"/>
      <c r="T7" s="641"/>
      <c r="U7" s="641"/>
      <c r="V7" s="641"/>
      <c r="W7" s="641"/>
      <c r="X7" s="641"/>
      <c r="Y7" s="641"/>
      <c r="Z7" s="641"/>
      <c r="AA7" s="641"/>
      <c r="AB7" s="641"/>
      <c r="AC7" s="641"/>
      <c r="AD7" s="641"/>
      <c r="AE7" s="641"/>
      <c r="AF7" s="641"/>
      <c r="AG7" s="641"/>
      <c r="AH7" s="641"/>
      <c r="AI7" s="641"/>
      <c r="AJ7" s="641"/>
      <c r="AK7" s="641"/>
      <c r="AL7" s="641"/>
      <c r="AM7" s="641"/>
      <c r="AN7" s="641"/>
      <c r="AO7" s="641"/>
      <c r="AP7" s="641"/>
      <c r="AQ7" s="641"/>
      <c r="AR7" s="641"/>
      <c r="AS7" s="641"/>
      <c r="AT7" s="641"/>
      <c r="AU7" s="641"/>
      <c r="AV7" s="641"/>
      <c r="AW7" s="641"/>
      <c r="AX7" s="641"/>
      <c r="AY7" s="641"/>
      <c r="AZ7" s="641"/>
      <c r="BA7" s="641"/>
      <c r="BB7" s="641"/>
      <c r="BC7" s="641"/>
      <c r="BD7" s="641"/>
      <c r="BE7" s="642"/>
    </row>
    <row r="8" spans="1:81" ht="12.6" customHeight="1">
      <c r="A8" s="640"/>
      <c r="B8" s="641"/>
      <c r="C8" s="641"/>
      <c r="D8" s="641"/>
      <c r="E8" s="641"/>
      <c r="F8" s="641"/>
      <c r="G8" s="641"/>
      <c r="H8" s="641"/>
      <c r="I8" s="641"/>
      <c r="J8" s="641"/>
      <c r="K8" s="641"/>
      <c r="L8" s="641"/>
      <c r="M8" s="641"/>
      <c r="N8" s="641"/>
      <c r="O8" s="641"/>
      <c r="P8" s="641"/>
      <c r="Q8" s="641"/>
      <c r="R8" s="641"/>
      <c r="S8" s="641"/>
      <c r="T8" s="641"/>
      <c r="U8" s="641"/>
      <c r="V8" s="641"/>
      <c r="W8" s="641"/>
      <c r="X8" s="641"/>
      <c r="Y8" s="641"/>
      <c r="Z8" s="641"/>
      <c r="AA8" s="641"/>
      <c r="AB8" s="641"/>
      <c r="AC8" s="641"/>
      <c r="AD8" s="641"/>
      <c r="AE8" s="641"/>
      <c r="AF8" s="641"/>
      <c r="AG8" s="641"/>
      <c r="AH8" s="641"/>
      <c r="AI8" s="641"/>
      <c r="AJ8" s="641"/>
      <c r="AK8" s="641"/>
      <c r="AL8" s="641"/>
      <c r="AM8" s="641"/>
      <c r="AN8" s="641"/>
      <c r="AO8" s="641"/>
      <c r="AP8" s="641"/>
      <c r="AQ8" s="641"/>
      <c r="AR8" s="641"/>
      <c r="AS8" s="641"/>
      <c r="AT8" s="641"/>
      <c r="AU8" s="641"/>
      <c r="AV8" s="641"/>
      <c r="AW8" s="641"/>
      <c r="AX8" s="641"/>
      <c r="AY8" s="641"/>
      <c r="AZ8" s="641"/>
      <c r="BA8" s="641"/>
      <c r="BB8" s="641"/>
      <c r="BC8" s="641"/>
      <c r="BD8" s="641"/>
      <c r="BE8" s="642"/>
    </row>
    <row r="9" spans="1:81" ht="12.6" customHeight="1">
      <c r="A9" s="640"/>
      <c r="B9" s="641"/>
      <c r="C9" s="641"/>
      <c r="D9" s="641"/>
      <c r="E9" s="641"/>
      <c r="F9" s="641"/>
      <c r="G9" s="641"/>
      <c r="H9" s="641"/>
      <c r="I9" s="641"/>
      <c r="J9" s="641"/>
      <c r="K9" s="641"/>
      <c r="L9" s="641"/>
      <c r="M9" s="641"/>
      <c r="N9" s="641"/>
      <c r="O9" s="641"/>
      <c r="P9" s="641"/>
      <c r="Q9" s="641"/>
      <c r="R9" s="641"/>
      <c r="S9" s="641"/>
      <c r="T9" s="641"/>
      <c r="U9" s="641"/>
      <c r="V9" s="641"/>
      <c r="W9" s="641"/>
      <c r="X9" s="641"/>
      <c r="Y9" s="641"/>
      <c r="Z9" s="641"/>
      <c r="AA9" s="641"/>
      <c r="AB9" s="641"/>
      <c r="AC9" s="641"/>
      <c r="AD9" s="641"/>
      <c r="AE9" s="641"/>
      <c r="AF9" s="641"/>
      <c r="AG9" s="641"/>
      <c r="AH9" s="641"/>
      <c r="AI9" s="641"/>
      <c r="AJ9" s="641"/>
      <c r="AK9" s="641"/>
      <c r="AL9" s="641"/>
      <c r="AM9" s="641"/>
      <c r="AN9" s="641"/>
      <c r="AO9" s="641"/>
      <c r="AP9" s="641"/>
      <c r="AQ9" s="641"/>
      <c r="AR9" s="641"/>
      <c r="AS9" s="641"/>
      <c r="AT9" s="641"/>
      <c r="AU9" s="641"/>
      <c r="AV9" s="641"/>
      <c r="AW9" s="641"/>
      <c r="AX9" s="641"/>
      <c r="AY9" s="641"/>
      <c r="AZ9" s="641"/>
      <c r="BA9" s="641"/>
      <c r="BB9" s="641"/>
      <c r="BC9" s="641"/>
      <c r="BD9" s="641"/>
      <c r="BE9" s="642"/>
      <c r="BI9" s="121"/>
      <c r="BJ9" s="121"/>
      <c r="BK9" s="121"/>
      <c r="BL9" s="122"/>
      <c r="BM9" s="122"/>
      <c r="BN9" s="122"/>
      <c r="BO9" s="122"/>
      <c r="BP9" s="122"/>
      <c r="BQ9" s="122"/>
      <c r="BR9" s="122"/>
      <c r="BS9" s="122"/>
      <c r="BT9" s="122"/>
      <c r="BU9" s="122"/>
      <c r="BV9" s="122"/>
      <c r="BW9" s="122"/>
      <c r="BX9" s="122"/>
      <c r="BY9" s="122"/>
      <c r="BZ9" s="122"/>
      <c r="CA9" s="123"/>
      <c r="CB9" s="123"/>
      <c r="CC9" s="123"/>
    </row>
    <row r="10" spans="1:81" ht="12.6" customHeight="1">
      <c r="A10" s="640"/>
      <c r="B10" s="641"/>
      <c r="C10" s="641"/>
      <c r="D10" s="641"/>
      <c r="E10" s="641"/>
      <c r="F10" s="641"/>
      <c r="G10" s="641"/>
      <c r="H10" s="641"/>
      <c r="I10" s="641"/>
      <c r="J10" s="641"/>
      <c r="K10" s="641"/>
      <c r="L10" s="641"/>
      <c r="M10" s="641"/>
      <c r="N10" s="641"/>
      <c r="O10" s="641"/>
      <c r="P10" s="641"/>
      <c r="Q10" s="641"/>
      <c r="R10" s="641"/>
      <c r="S10" s="641"/>
      <c r="T10" s="641"/>
      <c r="U10" s="641"/>
      <c r="V10" s="641"/>
      <c r="W10" s="641"/>
      <c r="X10" s="641"/>
      <c r="Y10" s="641"/>
      <c r="Z10" s="641"/>
      <c r="AA10" s="641"/>
      <c r="AB10" s="641"/>
      <c r="AC10" s="641"/>
      <c r="AD10" s="641"/>
      <c r="AE10" s="641"/>
      <c r="AF10" s="641"/>
      <c r="AG10" s="641"/>
      <c r="AH10" s="641"/>
      <c r="AI10" s="641"/>
      <c r="AJ10" s="641"/>
      <c r="AK10" s="641"/>
      <c r="AL10" s="641"/>
      <c r="AM10" s="641"/>
      <c r="AN10" s="641"/>
      <c r="AO10" s="641"/>
      <c r="AP10" s="641"/>
      <c r="AQ10" s="641"/>
      <c r="AR10" s="641"/>
      <c r="AS10" s="641"/>
      <c r="AT10" s="641"/>
      <c r="AU10" s="641"/>
      <c r="AV10" s="641"/>
      <c r="AW10" s="641"/>
      <c r="AX10" s="641"/>
      <c r="AY10" s="641"/>
      <c r="AZ10" s="641"/>
      <c r="BA10" s="641"/>
      <c r="BB10" s="641"/>
      <c r="BC10" s="641"/>
      <c r="BD10" s="641"/>
      <c r="BE10" s="642"/>
      <c r="BI10" s="121"/>
      <c r="BJ10" s="121"/>
      <c r="BK10" s="121"/>
      <c r="BL10" s="122"/>
      <c r="BM10" s="122"/>
      <c r="BN10" s="122"/>
      <c r="BO10" s="122"/>
      <c r="BP10" s="122"/>
      <c r="BQ10" s="122"/>
      <c r="BR10" s="122"/>
      <c r="BS10" s="122"/>
      <c r="BT10" s="122"/>
      <c r="BU10" s="122"/>
      <c r="BV10" s="122"/>
      <c r="BW10" s="122"/>
      <c r="BX10" s="122"/>
      <c r="BY10" s="122"/>
      <c r="BZ10" s="122"/>
      <c r="CA10" s="123"/>
      <c r="CB10" s="123"/>
      <c r="CC10" s="123"/>
    </row>
    <row r="11" spans="1:81" ht="12.6" customHeight="1">
      <c r="A11" s="640"/>
      <c r="B11" s="641"/>
      <c r="C11" s="641"/>
      <c r="D11" s="641"/>
      <c r="E11" s="641"/>
      <c r="F11" s="641"/>
      <c r="G11" s="641"/>
      <c r="H11" s="641"/>
      <c r="I11" s="641"/>
      <c r="J11" s="641"/>
      <c r="K11" s="641"/>
      <c r="L11" s="641"/>
      <c r="M11" s="641"/>
      <c r="N11" s="641"/>
      <c r="O11" s="641"/>
      <c r="P11" s="641"/>
      <c r="Q11" s="641"/>
      <c r="R11" s="641"/>
      <c r="S11" s="641"/>
      <c r="T11" s="641"/>
      <c r="U11" s="641"/>
      <c r="V11" s="641"/>
      <c r="W11" s="641"/>
      <c r="X11" s="641"/>
      <c r="Y11" s="641"/>
      <c r="Z11" s="641"/>
      <c r="AA11" s="641"/>
      <c r="AB11" s="641"/>
      <c r="AC11" s="641"/>
      <c r="AD11" s="641"/>
      <c r="AE11" s="641"/>
      <c r="AF11" s="641"/>
      <c r="AG11" s="641"/>
      <c r="AH11" s="641"/>
      <c r="AI11" s="641"/>
      <c r="AJ11" s="641"/>
      <c r="AK11" s="641"/>
      <c r="AL11" s="641"/>
      <c r="AM11" s="641"/>
      <c r="AN11" s="641"/>
      <c r="AO11" s="641"/>
      <c r="AP11" s="641"/>
      <c r="AQ11" s="641"/>
      <c r="AR11" s="641"/>
      <c r="AS11" s="641"/>
      <c r="AT11" s="641"/>
      <c r="AU11" s="641"/>
      <c r="AV11" s="641"/>
      <c r="AW11" s="641"/>
      <c r="AX11" s="641"/>
      <c r="AY11" s="641"/>
      <c r="AZ11" s="641"/>
      <c r="BA11" s="641"/>
      <c r="BB11" s="641"/>
      <c r="BC11" s="641"/>
      <c r="BD11" s="641"/>
      <c r="BE11" s="642"/>
      <c r="BI11" s="121"/>
      <c r="BJ11" s="121"/>
      <c r="BK11" s="121"/>
      <c r="BL11" s="122"/>
      <c r="BM11" s="122"/>
      <c r="BN11" s="122"/>
      <c r="BO11" s="122"/>
      <c r="BP11" s="122"/>
      <c r="BQ11" s="122"/>
      <c r="BR11" s="122"/>
      <c r="BS11" s="122"/>
      <c r="BT11" s="122"/>
      <c r="BU11" s="122"/>
      <c r="BV11" s="122"/>
      <c r="BW11" s="122"/>
      <c r="BX11" s="122"/>
      <c r="BY11" s="122"/>
      <c r="BZ11" s="122"/>
      <c r="CA11" s="123"/>
      <c r="CB11" s="123"/>
      <c r="CC11" s="123"/>
    </row>
    <row r="12" spans="1:81" ht="12.6" customHeight="1" thickBot="1">
      <c r="A12" s="155"/>
      <c r="B12" s="156"/>
      <c r="C12" s="156"/>
      <c r="D12" s="156"/>
      <c r="E12" s="156"/>
      <c r="F12" s="156"/>
      <c r="G12" s="156"/>
      <c r="H12" s="156"/>
      <c r="I12" s="156"/>
      <c r="J12" s="156"/>
      <c r="K12" s="156"/>
      <c r="L12" s="156"/>
      <c r="M12" s="156"/>
      <c r="N12" s="156"/>
      <c r="O12" s="156"/>
      <c r="P12" s="156"/>
      <c r="Q12" s="156"/>
      <c r="R12" s="132"/>
      <c r="S12" s="157"/>
      <c r="T12" s="157"/>
      <c r="U12" s="132"/>
      <c r="V12" s="132"/>
      <c r="W12" s="132"/>
      <c r="X12" s="132"/>
      <c r="Y12" s="132"/>
      <c r="Z12" s="132"/>
      <c r="AA12" s="132"/>
      <c r="AB12" s="132"/>
      <c r="AC12" s="132"/>
      <c r="AD12" s="132"/>
      <c r="AE12" s="158"/>
      <c r="AF12" s="159"/>
      <c r="AG12" s="159"/>
      <c r="AH12" s="159"/>
      <c r="AI12" s="159"/>
      <c r="AJ12" s="159"/>
      <c r="AK12" s="159"/>
      <c r="AL12" s="159"/>
      <c r="AM12" s="159"/>
      <c r="AN12" s="159"/>
      <c r="AO12" s="159"/>
      <c r="AP12" s="159"/>
      <c r="AQ12" s="159"/>
      <c r="AR12" s="159"/>
      <c r="AS12" s="159"/>
      <c r="AT12" s="159"/>
      <c r="AU12" s="159"/>
      <c r="AV12" s="643" t="s">
        <v>303</v>
      </c>
      <c r="AW12" s="643"/>
      <c r="AX12" s="643"/>
      <c r="AY12" s="644" t="str">
        <f>'秘書-input'!B28</f>
        <v>018155</v>
      </c>
      <c r="AZ12" s="644"/>
      <c r="BA12" s="644"/>
      <c r="BB12" s="644"/>
      <c r="BC12" s="644"/>
      <c r="BD12" s="644"/>
      <c r="BE12" s="645"/>
      <c r="BI12" s="121"/>
      <c r="BJ12" s="121"/>
      <c r="BK12" s="121"/>
      <c r="BL12" s="122"/>
      <c r="BM12" s="122"/>
      <c r="BN12" s="122"/>
      <c r="BO12" s="122"/>
      <c r="BP12" s="122"/>
      <c r="BQ12" s="122"/>
      <c r="BR12" s="122"/>
      <c r="BS12" s="122"/>
      <c r="BT12" s="122"/>
      <c r="BU12" s="122"/>
      <c r="BV12" s="122"/>
      <c r="BW12" s="122"/>
      <c r="BX12" s="122"/>
      <c r="BY12" s="122"/>
      <c r="BZ12" s="122"/>
      <c r="CA12" s="123"/>
      <c r="CB12" s="123"/>
      <c r="CC12" s="123"/>
    </row>
    <row r="13" spans="1:81" ht="12.6" customHeight="1" thickBot="1">
      <c r="A13" s="513" t="s">
        <v>304</v>
      </c>
      <c r="B13" s="513"/>
      <c r="C13" s="513"/>
      <c r="D13" s="646">
        <f>'秘書-input'!B10</f>
        <v>7588</v>
      </c>
      <c r="E13" s="646"/>
      <c r="F13" s="646"/>
      <c r="G13" s="646"/>
      <c r="H13" s="646"/>
      <c r="I13" s="646"/>
      <c r="J13" s="646"/>
      <c r="K13" s="646"/>
      <c r="L13" s="646"/>
      <c r="M13" s="646"/>
      <c r="N13" s="646"/>
      <c r="O13" s="646"/>
      <c r="P13" s="646"/>
      <c r="Q13" s="646"/>
      <c r="R13" s="646"/>
      <c r="S13" s="646"/>
      <c r="T13" s="646"/>
      <c r="U13" s="646"/>
      <c r="V13" s="646"/>
      <c r="W13" s="646"/>
      <c r="X13" s="646"/>
      <c r="Y13" s="646"/>
      <c r="Z13" s="646"/>
      <c r="AA13" s="646"/>
      <c r="AB13" s="646"/>
      <c r="AC13" s="646"/>
      <c r="AD13" s="647"/>
      <c r="AE13" s="503" t="s">
        <v>305</v>
      </c>
      <c r="AF13" s="504"/>
      <c r="AG13" s="504"/>
      <c r="AH13" s="513" t="s">
        <v>306</v>
      </c>
      <c r="AI13" s="513"/>
      <c r="AJ13" s="513"/>
      <c r="AK13" s="648">
        <f>'秘書-input'!E46</f>
        <v>34.835899999999995</v>
      </c>
      <c r="AL13" s="648"/>
      <c r="AM13" s="648"/>
      <c r="AN13" s="648"/>
      <c r="AO13" s="648"/>
      <c r="AP13" s="648"/>
      <c r="AQ13" s="648"/>
      <c r="AR13" s="648"/>
      <c r="AS13" s="648"/>
      <c r="AT13" s="648"/>
      <c r="AU13" s="648"/>
      <c r="AV13" s="648"/>
      <c r="AW13" s="648"/>
      <c r="AX13" s="648"/>
      <c r="AY13" s="648"/>
      <c r="AZ13" s="648"/>
      <c r="BA13" s="648"/>
      <c r="BB13" s="649"/>
      <c r="BC13" s="503" t="s">
        <v>307</v>
      </c>
      <c r="BD13" s="504"/>
      <c r="BE13" s="504"/>
      <c r="BI13" s="121"/>
      <c r="BJ13" s="121"/>
      <c r="BK13" s="121"/>
      <c r="BL13" s="124"/>
      <c r="BM13" s="124"/>
      <c r="BN13" s="124"/>
      <c r="BO13" s="124"/>
      <c r="BP13" s="124"/>
      <c r="BQ13" s="124"/>
      <c r="BR13" s="124"/>
      <c r="BS13" s="124"/>
      <c r="BT13" s="124"/>
      <c r="BU13" s="124"/>
      <c r="BV13" s="124"/>
      <c r="BW13" s="124"/>
      <c r="BX13" s="124"/>
      <c r="BY13" s="124"/>
      <c r="BZ13" s="124"/>
      <c r="CA13" s="123"/>
      <c r="CB13" s="123"/>
      <c r="CC13" s="123"/>
    </row>
    <row r="14" spans="1:81" ht="12.6" customHeight="1" thickBot="1">
      <c r="A14" s="513"/>
      <c r="B14" s="513"/>
      <c r="C14" s="513"/>
      <c r="D14" s="646"/>
      <c r="E14" s="646"/>
      <c r="F14" s="646"/>
      <c r="G14" s="646"/>
      <c r="H14" s="646"/>
      <c r="I14" s="646"/>
      <c r="J14" s="646"/>
      <c r="K14" s="646"/>
      <c r="L14" s="646"/>
      <c r="M14" s="646"/>
      <c r="N14" s="646"/>
      <c r="O14" s="646"/>
      <c r="P14" s="646"/>
      <c r="Q14" s="646"/>
      <c r="R14" s="646"/>
      <c r="S14" s="646"/>
      <c r="T14" s="646"/>
      <c r="U14" s="646"/>
      <c r="V14" s="646"/>
      <c r="W14" s="646"/>
      <c r="X14" s="646"/>
      <c r="Y14" s="646"/>
      <c r="Z14" s="646"/>
      <c r="AA14" s="646"/>
      <c r="AB14" s="646"/>
      <c r="AC14" s="646"/>
      <c r="AD14" s="647"/>
      <c r="AE14" s="503"/>
      <c r="AF14" s="504"/>
      <c r="AG14" s="504"/>
      <c r="AH14" s="513"/>
      <c r="AI14" s="513"/>
      <c r="AJ14" s="513"/>
      <c r="AK14" s="648"/>
      <c r="AL14" s="648"/>
      <c r="AM14" s="648"/>
      <c r="AN14" s="648"/>
      <c r="AO14" s="648"/>
      <c r="AP14" s="648"/>
      <c r="AQ14" s="648"/>
      <c r="AR14" s="648"/>
      <c r="AS14" s="648"/>
      <c r="AT14" s="648"/>
      <c r="AU14" s="648"/>
      <c r="AV14" s="648"/>
      <c r="AW14" s="648"/>
      <c r="AX14" s="648"/>
      <c r="AY14" s="648"/>
      <c r="AZ14" s="648"/>
      <c r="BA14" s="648"/>
      <c r="BB14" s="649"/>
      <c r="BC14" s="503"/>
      <c r="BD14" s="504"/>
      <c r="BE14" s="504"/>
      <c r="BI14" s="121"/>
      <c r="BJ14" s="121"/>
      <c r="BK14" s="121"/>
      <c r="BL14" s="124"/>
      <c r="BM14" s="124"/>
      <c r="BN14" s="124"/>
      <c r="BO14" s="124"/>
      <c r="BP14" s="124"/>
      <c r="BQ14" s="124"/>
      <c r="BR14" s="124"/>
      <c r="BS14" s="124"/>
      <c r="BT14" s="124"/>
      <c r="BU14" s="124"/>
      <c r="BV14" s="124"/>
      <c r="BW14" s="124"/>
      <c r="BX14" s="124"/>
      <c r="BY14" s="124"/>
      <c r="BZ14" s="124"/>
      <c r="CA14" s="123"/>
      <c r="CB14" s="123"/>
      <c r="CC14" s="123"/>
    </row>
    <row r="15" spans="1:81" ht="12.6" customHeight="1" thickBot="1">
      <c r="A15" s="513"/>
      <c r="B15" s="513"/>
      <c r="C15" s="513"/>
      <c r="D15" s="646"/>
      <c r="E15" s="646"/>
      <c r="F15" s="646"/>
      <c r="G15" s="646"/>
      <c r="H15" s="646"/>
      <c r="I15" s="646"/>
      <c r="J15" s="646"/>
      <c r="K15" s="646"/>
      <c r="L15" s="646"/>
      <c r="M15" s="646"/>
      <c r="N15" s="646"/>
      <c r="O15" s="646"/>
      <c r="P15" s="646"/>
      <c r="Q15" s="646"/>
      <c r="R15" s="646"/>
      <c r="S15" s="646"/>
      <c r="T15" s="646"/>
      <c r="U15" s="646"/>
      <c r="V15" s="646"/>
      <c r="W15" s="646"/>
      <c r="X15" s="646"/>
      <c r="Y15" s="646"/>
      <c r="Z15" s="646"/>
      <c r="AA15" s="646"/>
      <c r="AB15" s="646"/>
      <c r="AC15" s="646"/>
      <c r="AD15" s="647"/>
      <c r="AE15" s="503"/>
      <c r="AF15" s="504"/>
      <c r="AG15" s="504"/>
      <c r="AH15" s="513"/>
      <c r="AI15" s="513"/>
      <c r="AJ15" s="513"/>
      <c r="AK15" s="648"/>
      <c r="AL15" s="648"/>
      <c r="AM15" s="648"/>
      <c r="AN15" s="648"/>
      <c r="AO15" s="648"/>
      <c r="AP15" s="648"/>
      <c r="AQ15" s="648"/>
      <c r="AR15" s="648"/>
      <c r="AS15" s="648"/>
      <c r="AT15" s="648"/>
      <c r="AU15" s="648"/>
      <c r="AV15" s="648"/>
      <c r="AW15" s="648"/>
      <c r="AX15" s="648"/>
      <c r="AY15" s="648"/>
      <c r="AZ15" s="648"/>
      <c r="BA15" s="648"/>
      <c r="BB15" s="649"/>
      <c r="BC15" s="503"/>
      <c r="BD15" s="504"/>
      <c r="BE15" s="504"/>
      <c r="BI15" s="121"/>
      <c r="BJ15" s="121"/>
      <c r="BK15" s="121"/>
      <c r="BL15" s="124"/>
      <c r="BM15" s="124"/>
      <c r="BN15" s="124"/>
      <c r="BO15" s="124"/>
      <c r="BP15" s="124"/>
      <c r="BQ15" s="124"/>
      <c r="BR15" s="124"/>
      <c r="BS15" s="124"/>
      <c r="BT15" s="124"/>
      <c r="BU15" s="124"/>
      <c r="BV15" s="124"/>
      <c r="BW15" s="124"/>
      <c r="BX15" s="124"/>
      <c r="BY15" s="124"/>
      <c r="BZ15" s="124"/>
      <c r="CA15" s="123"/>
      <c r="CB15" s="123"/>
      <c r="CC15" s="123"/>
    </row>
    <row r="16" spans="1:81" ht="12.6" customHeight="1" thickBot="1">
      <c r="A16" s="513"/>
      <c r="B16" s="513"/>
      <c r="C16" s="513"/>
      <c r="D16" s="646"/>
      <c r="E16" s="646"/>
      <c r="F16" s="646"/>
      <c r="G16" s="646"/>
      <c r="H16" s="646"/>
      <c r="I16" s="646"/>
      <c r="J16" s="646"/>
      <c r="K16" s="646"/>
      <c r="L16" s="646"/>
      <c r="M16" s="646"/>
      <c r="N16" s="646"/>
      <c r="O16" s="646"/>
      <c r="P16" s="646"/>
      <c r="Q16" s="646"/>
      <c r="R16" s="646"/>
      <c r="S16" s="646"/>
      <c r="T16" s="646"/>
      <c r="U16" s="646"/>
      <c r="V16" s="646"/>
      <c r="W16" s="646"/>
      <c r="X16" s="646"/>
      <c r="Y16" s="646"/>
      <c r="Z16" s="646"/>
      <c r="AA16" s="646"/>
      <c r="AB16" s="646"/>
      <c r="AC16" s="646"/>
      <c r="AD16" s="647"/>
      <c r="AE16" s="503"/>
      <c r="AF16" s="504"/>
      <c r="AG16" s="504"/>
      <c r="AH16" s="513"/>
      <c r="AI16" s="513"/>
      <c r="AJ16" s="513"/>
      <c r="AK16" s="648"/>
      <c r="AL16" s="648"/>
      <c r="AM16" s="648"/>
      <c r="AN16" s="648"/>
      <c r="AO16" s="648"/>
      <c r="AP16" s="648"/>
      <c r="AQ16" s="648"/>
      <c r="AR16" s="648"/>
      <c r="AS16" s="648"/>
      <c r="AT16" s="648"/>
      <c r="AU16" s="648"/>
      <c r="AV16" s="648"/>
      <c r="AW16" s="648"/>
      <c r="AX16" s="648"/>
      <c r="AY16" s="648"/>
      <c r="AZ16" s="648"/>
      <c r="BA16" s="648"/>
      <c r="BB16" s="649"/>
      <c r="BC16" s="503"/>
      <c r="BD16" s="504"/>
      <c r="BE16" s="504"/>
      <c r="BI16" s="121"/>
      <c r="BJ16" s="121"/>
      <c r="BK16" s="121"/>
      <c r="BL16" s="124"/>
      <c r="BM16" s="124"/>
      <c r="BN16" s="124"/>
      <c r="BO16" s="124"/>
      <c r="BP16" s="124"/>
      <c r="BQ16" s="124"/>
      <c r="BR16" s="124"/>
      <c r="BS16" s="124"/>
      <c r="BT16" s="124"/>
      <c r="BU16" s="124"/>
      <c r="BV16" s="124"/>
      <c r="BW16" s="124"/>
      <c r="BX16" s="124"/>
      <c r="BY16" s="124"/>
      <c r="BZ16" s="124"/>
      <c r="CA16" s="123"/>
      <c r="CB16" s="123"/>
      <c r="CC16" s="123"/>
    </row>
    <row r="17" spans="1:81" ht="12.6" customHeight="1" thickBot="1">
      <c r="A17" s="513"/>
      <c r="B17" s="513"/>
      <c r="C17" s="513"/>
      <c r="D17" s="646"/>
      <c r="E17" s="646"/>
      <c r="F17" s="646"/>
      <c r="G17" s="646"/>
      <c r="H17" s="646"/>
      <c r="I17" s="646"/>
      <c r="J17" s="646"/>
      <c r="K17" s="646"/>
      <c r="L17" s="646"/>
      <c r="M17" s="646"/>
      <c r="N17" s="646"/>
      <c r="O17" s="646"/>
      <c r="P17" s="646"/>
      <c r="Q17" s="646"/>
      <c r="R17" s="646"/>
      <c r="S17" s="646"/>
      <c r="T17" s="646"/>
      <c r="U17" s="646"/>
      <c r="V17" s="646"/>
      <c r="W17" s="646"/>
      <c r="X17" s="646"/>
      <c r="Y17" s="646"/>
      <c r="Z17" s="646"/>
      <c r="AA17" s="646"/>
      <c r="AB17" s="646"/>
      <c r="AC17" s="646"/>
      <c r="AD17" s="647"/>
      <c r="AE17" s="503"/>
      <c r="AF17" s="504"/>
      <c r="AG17" s="504"/>
      <c r="AH17" s="513"/>
      <c r="AI17" s="513"/>
      <c r="AJ17" s="513"/>
      <c r="AK17" s="648"/>
      <c r="AL17" s="648"/>
      <c r="AM17" s="648"/>
      <c r="AN17" s="648"/>
      <c r="AO17" s="648"/>
      <c r="AP17" s="648"/>
      <c r="AQ17" s="648"/>
      <c r="AR17" s="648"/>
      <c r="AS17" s="648"/>
      <c r="AT17" s="648"/>
      <c r="AU17" s="648"/>
      <c r="AV17" s="648"/>
      <c r="AW17" s="648"/>
      <c r="AX17" s="648"/>
      <c r="AY17" s="648"/>
      <c r="AZ17" s="648"/>
      <c r="BA17" s="648"/>
      <c r="BB17" s="649"/>
      <c r="BC17" s="503"/>
      <c r="BD17" s="504"/>
      <c r="BE17" s="504"/>
      <c r="BI17" s="121"/>
      <c r="BJ17" s="121"/>
      <c r="BK17" s="121"/>
      <c r="BL17" s="125"/>
      <c r="BM17" s="125"/>
      <c r="BN17" s="125"/>
      <c r="BO17" s="125"/>
      <c r="BP17" s="125"/>
      <c r="BQ17" s="125"/>
      <c r="BR17" s="125"/>
      <c r="BS17" s="125"/>
      <c r="BT17" s="125"/>
      <c r="BU17" s="125"/>
      <c r="BV17" s="125"/>
      <c r="BW17" s="125"/>
      <c r="BX17" s="125"/>
      <c r="BY17" s="125"/>
      <c r="BZ17" s="125"/>
      <c r="CA17" s="125"/>
      <c r="CB17" s="125"/>
      <c r="CC17" s="125"/>
    </row>
    <row r="18" spans="1:81" ht="12.6" customHeight="1" thickBot="1">
      <c r="A18" s="513" t="s">
        <v>308</v>
      </c>
      <c r="B18" s="513"/>
      <c r="C18" s="513"/>
      <c r="D18" s="545" t="str">
        <f>'秘書-input'!B14</f>
        <v>0/2/2</v>
      </c>
      <c r="E18" s="546"/>
      <c r="F18" s="546"/>
      <c r="G18" s="546"/>
      <c r="H18" s="546"/>
      <c r="I18" s="546"/>
      <c r="J18" s="546"/>
      <c r="K18" s="546"/>
      <c r="L18" s="546"/>
      <c r="M18" s="546"/>
      <c r="N18" s="546"/>
      <c r="O18" s="546"/>
      <c r="P18" s="546"/>
      <c r="Q18" s="546"/>
      <c r="R18" s="546"/>
      <c r="S18" s="546"/>
      <c r="T18" s="630"/>
      <c r="U18" s="633" t="s">
        <v>309</v>
      </c>
      <c r="V18" s="633"/>
      <c r="W18" s="633"/>
      <c r="X18" s="573" t="str">
        <f>'秘書-input'!C50</f>
        <v>無</v>
      </c>
      <c r="Y18" s="573"/>
      <c r="Z18" s="573"/>
      <c r="AA18" s="573"/>
      <c r="AB18" s="573"/>
      <c r="AC18" s="573"/>
      <c r="AD18" s="573"/>
      <c r="AE18" s="513" t="s">
        <v>310</v>
      </c>
      <c r="AF18" s="513"/>
      <c r="AG18" s="513"/>
      <c r="AH18" s="634" t="str">
        <f>'秘書-input'!E13</f>
        <v>1~2/7F</v>
      </c>
      <c r="AI18" s="634"/>
      <c r="AJ18" s="634"/>
      <c r="AK18" s="634"/>
      <c r="AL18" s="634"/>
      <c r="AM18" s="634"/>
      <c r="AN18" s="634"/>
      <c r="AO18" s="513" t="s">
        <v>311</v>
      </c>
      <c r="AP18" s="513"/>
      <c r="AQ18" s="513"/>
      <c r="AR18" s="622">
        <f ca="1">'秘書-input'!E11</f>
        <v>46.87945205479452</v>
      </c>
      <c r="AS18" s="622"/>
      <c r="AT18" s="622"/>
      <c r="AU18" s="622"/>
      <c r="AV18" s="622"/>
      <c r="AW18" s="622"/>
      <c r="AX18" s="622"/>
      <c r="AY18" s="622"/>
      <c r="AZ18" s="622"/>
      <c r="BA18" s="622"/>
      <c r="BB18" s="623"/>
      <c r="BC18" s="503" t="s">
        <v>312</v>
      </c>
      <c r="BD18" s="504"/>
      <c r="BE18" s="504"/>
      <c r="BI18" s="121"/>
      <c r="BJ18" s="121"/>
      <c r="BK18" s="121"/>
      <c r="BL18" s="125"/>
      <c r="BM18" s="125"/>
      <c r="BN18" s="125"/>
      <c r="BO18" s="125"/>
      <c r="BP18" s="125"/>
      <c r="BQ18" s="125"/>
      <c r="BR18" s="125"/>
      <c r="BS18" s="125"/>
      <c r="BT18" s="125"/>
      <c r="BU18" s="125"/>
      <c r="BV18" s="125"/>
      <c r="BW18" s="125"/>
      <c r="BX18" s="125"/>
      <c r="BY18" s="125"/>
      <c r="BZ18" s="125"/>
      <c r="CA18" s="125"/>
      <c r="CB18" s="125"/>
      <c r="CC18" s="125"/>
    </row>
    <row r="19" spans="1:81" ht="12.6" customHeight="1" thickBot="1">
      <c r="A19" s="513"/>
      <c r="B19" s="513"/>
      <c r="C19" s="513"/>
      <c r="D19" s="547"/>
      <c r="E19" s="548"/>
      <c r="F19" s="548"/>
      <c r="G19" s="548"/>
      <c r="H19" s="548"/>
      <c r="I19" s="548"/>
      <c r="J19" s="548"/>
      <c r="K19" s="548"/>
      <c r="L19" s="548"/>
      <c r="M19" s="548"/>
      <c r="N19" s="548"/>
      <c r="O19" s="548"/>
      <c r="P19" s="548"/>
      <c r="Q19" s="548"/>
      <c r="R19" s="548"/>
      <c r="S19" s="548"/>
      <c r="T19" s="631"/>
      <c r="U19" s="633"/>
      <c r="V19" s="633"/>
      <c r="W19" s="633"/>
      <c r="X19" s="573"/>
      <c r="Y19" s="573"/>
      <c r="Z19" s="573"/>
      <c r="AA19" s="573"/>
      <c r="AB19" s="573"/>
      <c r="AC19" s="573"/>
      <c r="AD19" s="573"/>
      <c r="AE19" s="513"/>
      <c r="AF19" s="513"/>
      <c r="AG19" s="513"/>
      <c r="AH19" s="634"/>
      <c r="AI19" s="634"/>
      <c r="AJ19" s="634"/>
      <c r="AK19" s="634"/>
      <c r="AL19" s="634"/>
      <c r="AM19" s="634"/>
      <c r="AN19" s="634"/>
      <c r="AO19" s="513"/>
      <c r="AP19" s="513"/>
      <c r="AQ19" s="513"/>
      <c r="AR19" s="622"/>
      <c r="AS19" s="622"/>
      <c r="AT19" s="622"/>
      <c r="AU19" s="622"/>
      <c r="AV19" s="622"/>
      <c r="AW19" s="622"/>
      <c r="AX19" s="622"/>
      <c r="AY19" s="622"/>
      <c r="AZ19" s="622"/>
      <c r="BA19" s="622"/>
      <c r="BB19" s="623"/>
      <c r="BC19" s="503"/>
      <c r="BD19" s="504"/>
      <c r="BE19" s="504"/>
      <c r="BI19" s="121"/>
      <c r="BJ19" s="121"/>
      <c r="BK19" s="121"/>
      <c r="BL19" s="126"/>
      <c r="BM19" s="126"/>
      <c r="BN19" s="126"/>
      <c r="BO19" s="126"/>
      <c r="BP19" s="126"/>
      <c r="BQ19" s="126"/>
      <c r="BR19" s="126"/>
      <c r="BS19" s="126"/>
      <c r="BT19" s="126"/>
      <c r="BU19" s="126"/>
      <c r="BV19" s="126"/>
      <c r="BW19" s="126"/>
      <c r="BX19" s="126"/>
      <c r="BY19" s="126"/>
      <c r="BZ19" s="126"/>
      <c r="CA19" s="126"/>
      <c r="CB19" s="126"/>
      <c r="CC19" s="126"/>
    </row>
    <row r="20" spans="1:81" ht="12.6" customHeight="1" thickBot="1">
      <c r="A20" s="513"/>
      <c r="B20" s="513"/>
      <c r="C20" s="513"/>
      <c r="D20" s="547"/>
      <c r="E20" s="548"/>
      <c r="F20" s="548"/>
      <c r="G20" s="548"/>
      <c r="H20" s="548"/>
      <c r="I20" s="548"/>
      <c r="J20" s="548"/>
      <c r="K20" s="548"/>
      <c r="L20" s="548"/>
      <c r="M20" s="548"/>
      <c r="N20" s="548"/>
      <c r="O20" s="548"/>
      <c r="P20" s="548"/>
      <c r="Q20" s="548"/>
      <c r="R20" s="548"/>
      <c r="S20" s="548"/>
      <c r="T20" s="631"/>
      <c r="U20" s="633"/>
      <c r="V20" s="633"/>
      <c r="W20" s="633"/>
      <c r="X20" s="573"/>
      <c r="Y20" s="573"/>
      <c r="Z20" s="573"/>
      <c r="AA20" s="573"/>
      <c r="AB20" s="573"/>
      <c r="AC20" s="573"/>
      <c r="AD20" s="573"/>
      <c r="AE20" s="513"/>
      <c r="AF20" s="513"/>
      <c r="AG20" s="513"/>
      <c r="AH20" s="634"/>
      <c r="AI20" s="634"/>
      <c r="AJ20" s="634"/>
      <c r="AK20" s="634"/>
      <c r="AL20" s="634"/>
      <c r="AM20" s="634"/>
      <c r="AN20" s="634"/>
      <c r="AO20" s="513"/>
      <c r="AP20" s="513"/>
      <c r="AQ20" s="513"/>
      <c r="AR20" s="622"/>
      <c r="AS20" s="622"/>
      <c r="AT20" s="622"/>
      <c r="AU20" s="622"/>
      <c r="AV20" s="622"/>
      <c r="AW20" s="622"/>
      <c r="AX20" s="622"/>
      <c r="AY20" s="622"/>
      <c r="AZ20" s="622"/>
      <c r="BA20" s="622"/>
      <c r="BB20" s="623"/>
      <c r="BC20" s="503"/>
      <c r="BD20" s="504"/>
      <c r="BE20" s="504"/>
      <c r="BI20" s="121"/>
      <c r="BJ20" s="121"/>
      <c r="BK20" s="121"/>
      <c r="BL20" s="126"/>
      <c r="BM20" s="126"/>
      <c r="BN20" s="126"/>
      <c r="BO20" s="126"/>
      <c r="BP20" s="126"/>
      <c r="BQ20" s="126"/>
      <c r="BR20" s="126"/>
      <c r="BS20" s="126"/>
      <c r="BT20" s="126"/>
      <c r="BU20" s="126"/>
      <c r="BV20" s="126"/>
      <c r="BW20" s="126"/>
      <c r="BX20" s="126"/>
      <c r="BY20" s="126"/>
      <c r="BZ20" s="126"/>
      <c r="CA20" s="126"/>
      <c r="CB20" s="126"/>
      <c r="CC20" s="126"/>
    </row>
    <row r="21" spans="1:81" ht="12.6" customHeight="1" thickBot="1">
      <c r="A21" s="513"/>
      <c r="B21" s="513"/>
      <c r="C21" s="513"/>
      <c r="D21" s="547"/>
      <c r="E21" s="548"/>
      <c r="F21" s="548"/>
      <c r="G21" s="548"/>
      <c r="H21" s="548"/>
      <c r="I21" s="548"/>
      <c r="J21" s="548"/>
      <c r="K21" s="548"/>
      <c r="L21" s="548"/>
      <c r="M21" s="548"/>
      <c r="N21" s="548"/>
      <c r="O21" s="548"/>
      <c r="P21" s="548"/>
      <c r="Q21" s="548"/>
      <c r="R21" s="548"/>
      <c r="S21" s="548"/>
      <c r="T21" s="631"/>
      <c r="U21" s="633"/>
      <c r="V21" s="633"/>
      <c r="W21" s="633"/>
      <c r="X21" s="573"/>
      <c r="Y21" s="573"/>
      <c r="Z21" s="573"/>
      <c r="AA21" s="573"/>
      <c r="AB21" s="573"/>
      <c r="AC21" s="573"/>
      <c r="AD21" s="573"/>
      <c r="AE21" s="513"/>
      <c r="AF21" s="513"/>
      <c r="AG21" s="513"/>
      <c r="AH21" s="634"/>
      <c r="AI21" s="634"/>
      <c r="AJ21" s="634"/>
      <c r="AK21" s="634"/>
      <c r="AL21" s="634"/>
      <c r="AM21" s="634"/>
      <c r="AN21" s="634"/>
      <c r="AO21" s="513"/>
      <c r="AP21" s="513"/>
      <c r="AQ21" s="513"/>
      <c r="AR21" s="622"/>
      <c r="AS21" s="622"/>
      <c r="AT21" s="622"/>
      <c r="AU21" s="622"/>
      <c r="AV21" s="622"/>
      <c r="AW21" s="622"/>
      <c r="AX21" s="622"/>
      <c r="AY21" s="622"/>
      <c r="AZ21" s="622"/>
      <c r="BA21" s="622"/>
      <c r="BB21" s="623"/>
      <c r="BC21" s="503"/>
      <c r="BD21" s="504"/>
      <c r="BE21" s="504"/>
      <c r="BI21" s="121"/>
      <c r="BJ21" s="121"/>
      <c r="BK21" s="121"/>
      <c r="BL21" s="125"/>
      <c r="BM21" s="125"/>
      <c r="BN21" s="125"/>
      <c r="BO21" s="125"/>
      <c r="BP21" s="125"/>
      <c r="BQ21" s="125"/>
      <c r="BR21" s="125"/>
      <c r="BS21" s="125"/>
      <c r="BT21" s="125"/>
      <c r="BU21" s="125"/>
      <c r="BV21" s="125"/>
      <c r="BW21" s="125"/>
      <c r="BX21" s="125"/>
      <c r="BY21" s="125"/>
      <c r="BZ21" s="125"/>
      <c r="CA21" s="125"/>
      <c r="CB21" s="125"/>
      <c r="CC21" s="125"/>
    </row>
    <row r="22" spans="1:81" ht="12.6" customHeight="1" thickBot="1">
      <c r="A22" s="513"/>
      <c r="B22" s="513"/>
      <c r="C22" s="513"/>
      <c r="D22" s="549"/>
      <c r="E22" s="550"/>
      <c r="F22" s="550"/>
      <c r="G22" s="550"/>
      <c r="H22" s="550"/>
      <c r="I22" s="550"/>
      <c r="J22" s="550"/>
      <c r="K22" s="550"/>
      <c r="L22" s="550"/>
      <c r="M22" s="550"/>
      <c r="N22" s="550"/>
      <c r="O22" s="550"/>
      <c r="P22" s="550"/>
      <c r="Q22" s="550"/>
      <c r="R22" s="550"/>
      <c r="S22" s="550"/>
      <c r="T22" s="632"/>
      <c r="U22" s="633"/>
      <c r="V22" s="633"/>
      <c r="W22" s="633"/>
      <c r="X22" s="573"/>
      <c r="Y22" s="573"/>
      <c r="Z22" s="573"/>
      <c r="AA22" s="573"/>
      <c r="AB22" s="573"/>
      <c r="AC22" s="573"/>
      <c r="AD22" s="573"/>
      <c r="AE22" s="513"/>
      <c r="AF22" s="513"/>
      <c r="AG22" s="513"/>
      <c r="AH22" s="634"/>
      <c r="AI22" s="634"/>
      <c r="AJ22" s="634"/>
      <c r="AK22" s="634"/>
      <c r="AL22" s="634"/>
      <c r="AM22" s="634"/>
      <c r="AN22" s="634"/>
      <c r="AO22" s="513"/>
      <c r="AP22" s="513"/>
      <c r="AQ22" s="513"/>
      <c r="AR22" s="622"/>
      <c r="AS22" s="622"/>
      <c r="AT22" s="622"/>
      <c r="AU22" s="622"/>
      <c r="AV22" s="622"/>
      <c r="AW22" s="622"/>
      <c r="AX22" s="622"/>
      <c r="AY22" s="622"/>
      <c r="AZ22" s="622"/>
      <c r="BA22" s="622"/>
      <c r="BB22" s="623"/>
      <c r="BC22" s="503"/>
      <c r="BD22" s="504"/>
      <c r="BE22" s="504"/>
      <c r="BI22" s="121"/>
      <c r="BJ22" s="121"/>
      <c r="BK22" s="121"/>
      <c r="BL22" s="125"/>
      <c r="BM22" s="125"/>
      <c r="BN22" s="125"/>
      <c r="BO22" s="125"/>
      <c r="BP22" s="125"/>
      <c r="BQ22" s="125"/>
      <c r="BR22" s="125"/>
      <c r="BS22" s="125"/>
      <c r="BT22" s="125"/>
      <c r="BU22" s="125"/>
      <c r="BV22" s="125"/>
      <c r="BW22" s="125"/>
      <c r="BX22" s="125"/>
      <c r="BY22" s="125"/>
      <c r="BZ22" s="125"/>
      <c r="CA22" s="125"/>
      <c r="CB22" s="125"/>
      <c r="CC22" s="125"/>
    </row>
    <row r="23" spans="1:81" ht="12.6" customHeight="1">
      <c r="A23" s="553" t="s">
        <v>313</v>
      </c>
      <c r="B23" s="554"/>
      <c r="C23" s="635"/>
      <c r="D23" s="624" t="str">
        <f>'秘書-input'!B56</f>
        <v/>
      </c>
      <c r="E23" s="625"/>
      <c r="F23" s="625"/>
      <c r="G23" s="625"/>
      <c r="H23" s="625"/>
      <c r="I23" s="625"/>
      <c r="J23" s="625"/>
      <c r="K23" s="625"/>
      <c r="L23" s="625"/>
      <c r="M23" s="625"/>
      <c r="N23" s="625"/>
      <c r="O23" s="625"/>
      <c r="P23" s="625"/>
      <c r="Q23" s="625"/>
      <c r="R23" s="625"/>
      <c r="S23" s="625"/>
      <c r="T23" s="625"/>
      <c r="U23" s="625"/>
      <c r="V23" s="625"/>
      <c r="W23" s="625"/>
      <c r="X23" s="625"/>
      <c r="Y23" s="625"/>
      <c r="Z23" s="625"/>
      <c r="AA23" s="625"/>
      <c r="AB23" s="625"/>
      <c r="AC23" s="625"/>
      <c r="AD23" s="625"/>
      <c r="AE23" s="625"/>
      <c r="AF23" s="625"/>
      <c r="AG23" s="625"/>
      <c r="AH23" s="625"/>
      <c r="AI23" s="625"/>
      <c r="AJ23" s="625"/>
      <c r="AK23" s="625"/>
      <c r="AL23" s="625"/>
      <c r="AM23" s="625"/>
      <c r="AN23" s="625"/>
      <c r="AO23" s="625"/>
      <c r="AP23" s="625"/>
      <c r="AQ23" s="625"/>
      <c r="AR23" s="625"/>
      <c r="AS23" s="625"/>
      <c r="AT23" s="625"/>
      <c r="AU23" s="625"/>
      <c r="AV23" s="625"/>
      <c r="AW23" s="625"/>
      <c r="AX23" s="625"/>
      <c r="AY23" s="625"/>
      <c r="AZ23" s="625"/>
      <c r="BA23" s="625"/>
      <c r="BB23" s="625"/>
      <c r="BC23" s="625"/>
      <c r="BD23" s="625"/>
      <c r="BE23" s="626"/>
      <c r="BI23" s="121"/>
      <c r="BJ23" s="121"/>
      <c r="BK23" s="121"/>
      <c r="BL23" s="125"/>
      <c r="BM23" s="125"/>
      <c r="BN23" s="125"/>
      <c r="BO23" s="125"/>
      <c r="BP23" s="125"/>
      <c r="BQ23" s="125"/>
      <c r="BR23" s="125"/>
      <c r="BS23" s="125"/>
      <c r="BT23" s="125"/>
      <c r="BU23" s="125"/>
      <c r="BV23" s="125"/>
      <c r="BW23" s="125"/>
      <c r="BX23" s="125"/>
      <c r="BY23" s="125"/>
      <c r="BZ23" s="125"/>
      <c r="CA23" s="125"/>
      <c r="CB23" s="125"/>
      <c r="CC23" s="125"/>
    </row>
    <row r="24" spans="1:81" ht="12.6" customHeight="1">
      <c r="A24" s="553"/>
      <c r="B24" s="554"/>
      <c r="C24" s="635"/>
      <c r="D24" s="624"/>
      <c r="E24" s="625"/>
      <c r="F24" s="625"/>
      <c r="G24" s="625"/>
      <c r="H24" s="625"/>
      <c r="I24" s="625"/>
      <c r="J24" s="625"/>
      <c r="K24" s="625"/>
      <c r="L24" s="625"/>
      <c r="M24" s="625"/>
      <c r="N24" s="625"/>
      <c r="O24" s="625"/>
      <c r="P24" s="625"/>
      <c r="Q24" s="625"/>
      <c r="R24" s="625"/>
      <c r="S24" s="625"/>
      <c r="T24" s="625"/>
      <c r="U24" s="625"/>
      <c r="V24" s="625"/>
      <c r="W24" s="625"/>
      <c r="X24" s="625"/>
      <c r="Y24" s="625"/>
      <c r="Z24" s="625"/>
      <c r="AA24" s="625"/>
      <c r="AB24" s="625"/>
      <c r="AC24" s="625"/>
      <c r="AD24" s="625"/>
      <c r="AE24" s="625"/>
      <c r="AF24" s="625"/>
      <c r="AG24" s="625"/>
      <c r="AH24" s="625"/>
      <c r="AI24" s="625"/>
      <c r="AJ24" s="625"/>
      <c r="AK24" s="625"/>
      <c r="AL24" s="625"/>
      <c r="AM24" s="625"/>
      <c r="AN24" s="625"/>
      <c r="AO24" s="625"/>
      <c r="AP24" s="625"/>
      <c r="AQ24" s="625"/>
      <c r="AR24" s="625"/>
      <c r="AS24" s="625"/>
      <c r="AT24" s="625"/>
      <c r="AU24" s="625"/>
      <c r="AV24" s="625"/>
      <c r="AW24" s="625"/>
      <c r="AX24" s="625"/>
      <c r="AY24" s="625"/>
      <c r="AZ24" s="625"/>
      <c r="BA24" s="625"/>
      <c r="BB24" s="625"/>
      <c r="BC24" s="625"/>
      <c r="BD24" s="625"/>
      <c r="BE24" s="626"/>
      <c r="BI24" s="121"/>
      <c r="BJ24" s="121"/>
      <c r="BK24" s="121"/>
      <c r="BL24" s="125"/>
      <c r="BM24" s="125"/>
      <c r="BN24" s="125"/>
      <c r="BO24" s="125"/>
      <c r="BP24" s="125"/>
      <c r="BQ24" s="125"/>
      <c r="BR24" s="125"/>
      <c r="BS24" s="125"/>
      <c r="BT24" s="125"/>
      <c r="BU24" s="125"/>
      <c r="BV24" s="125"/>
      <c r="BW24" s="125"/>
      <c r="BX24" s="125"/>
      <c r="BY24" s="125"/>
      <c r="BZ24" s="125"/>
      <c r="CA24" s="125"/>
      <c r="CB24" s="125"/>
      <c r="CC24" s="125"/>
    </row>
    <row r="25" spans="1:81" ht="12.6" customHeight="1">
      <c r="A25" s="553"/>
      <c r="B25" s="554"/>
      <c r="C25" s="635"/>
      <c r="D25" s="624"/>
      <c r="E25" s="625"/>
      <c r="F25" s="625"/>
      <c r="G25" s="625"/>
      <c r="H25" s="625"/>
      <c r="I25" s="625"/>
      <c r="J25" s="625"/>
      <c r="K25" s="625"/>
      <c r="L25" s="625"/>
      <c r="M25" s="625"/>
      <c r="N25" s="625"/>
      <c r="O25" s="625"/>
      <c r="P25" s="625"/>
      <c r="Q25" s="625"/>
      <c r="R25" s="625"/>
      <c r="S25" s="625"/>
      <c r="T25" s="625"/>
      <c r="U25" s="625"/>
      <c r="V25" s="625"/>
      <c r="W25" s="625"/>
      <c r="X25" s="625"/>
      <c r="Y25" s="625"/>
      <c r="Z25" s="625"/>
      <c r="AA25" s="625"/>
      <c r="AB25" s="625"/>
      <c r="AC25" s="625"/>
      <c r="AD25" s="625"/>
      <c r="AE25" s="625"/>
      <c r="AF25" s="625"/>
      <c r="AG25" s="625"/>
      <c r="AH25" s="625"/>
      <c r="AI25" s="625"/>
      <c r="AJ25" s="625"/>
      <c r="AK25" s="625"/>
      <c r="AL25" s="625"/>
      <c r="AM25" s="625"/>
      <c r="AN25" s="625"/>
      <c r="AO25" s="625"/>
      <c r="AP25" s="625"/>
      <c r="AQ25" s="625"/>
      <c r="AR25" s="625"/>
      <c r="AS25" s="625"/>
      <c r="AT25" s="625"/>
      <c r="AU25" s="625"/>
      <c r="AV25" s="625"/>
      <c r="AW25" s="625"/>
      <c r="AX25" s="625"/>
      <c r="AY25" s="625"/>
      <c r="AZ25" s="625"/>
      <c r="BA25" s="625"/>
      <c r="BB25" s="625"/>
      <c r="BC25" s="625"/>
      <c r="BD25" s="625"/>
      <c r="BE25" s="626"/>
    </row>
    <row r="26" spans="1:81" ht="12.6" customHeight="1">
      <c r="A26" s="553"/>
      <c r="B26" s="554"/>
      <c r="C26" s="635"/>
      <c r="D26" s="624" t="str">
        <f>'秘書-input'!B57</f>
        <v/>
      </c>
      <c r="E26" s="625"/>
      <c r="F26" s="625"/>
      <c r="G26" s="625"/>
      <c r="H26" s="625"/>
      <c r="I26" s="625"/>
      <c r="J26" s="625"/>
      <c r="K26" s="625"/>
      <c r="L26" s="625"/>
      <c r="M26" s="625"/>
      <c r="N26" s="625"/>
      <c r="O26" s="625"/>
      <c r="P26" s="625"/>
      <c r="Q26" s="625"/>
      <c r="R26" s="625"/>
      <c r="S26" s="625"/>
      <c r="T26" s="625"/>
      <c r="U26" s="625"/>
      <c r="V26" s="625"/>
      <c r="W26" s="625"/>
      <c r="X26" s="625"/>
      <c r="Y26" s="625"/>
      <c r="Z26" s="625"/>
      <c r="AA26" s="625"/>
      <c r="AB26" s="625"/>
      <c r="AC26" s="625"/>
      <c r="AD26" s="625"/>
      <c r="AE26" s="625"/>
      <c r="AF26" s="625"/>
      <c r="AG26" s="625"/>
      <c r="AH26" s="625"/>
      <c r="AI26" s="625"/>
      <c r="AJ26" s="625"/>
      <c r="AK26" s="625"/>
      <c r="AL26" s="625"/>
      <c r="AM26" s="625"/>
      <c r="AN26" s="625"/>
      <c r="AO26" s="625"/>
      <c r="AP26" s="625"/>
      <c r="AQ26" s="625"/>
      <c r="AR26" s="625"/>
      <c r="AS26" s="625"/>
      <c r="AT26" s="625"/>
      <c r="AU26" s="625"/>
      <c r="AV26" s="625"/>
      <c r="AW26" s="625"/>
      <c r="AX26" s="625"/>
      <c r="AY26" s="625"/>
      <c r="AZ26" s="625"/>
      <c r="BA26" s="625"/>
      <c r="BB26" s="625"/>
      <c r="BC26" s="625"/>
      <c r="BD26" s="625"/>
      <c r="BE26" s="626"/>
    </row>
    <row r="27" spans="1:81" ht="12.6" customHeight="1">
      <c r="A27" s="553"/>
      <c r="B27" s="554"/>
      <c r="C27" s="635"/>
      <c r="D27" s="624"/>
      <c r="E27" s="625"/>
      <c r="F27" s="625"/>
      <c r="G27" s="625"/>
      <c r="H27" s="625"/>
      <c r="I27" s="625"/>
      <c r="J27" s="625"/>
      <c r="K27" s="625"/>
      <c r="L27" s="625"/>
      <c r="M27" s="625"/>
      <c r="N27" s="625"/>
      <c r="O27" s="625"/>
      <c r="P27" s="625"/>
      <c r="Q27" s="625"/>
      <c r="R27" s="625"/>
      <c r="S27" s="625"/>
      <c r="T27" s="625"/>
      <c r="U27" s="625"/>
      <c r="V27" s="625"/>
      <c r="W27" s="625"/>
      <c r="X27" s="625"/>
      <c r="Y27" s="625"/>
      <c r="Z27" s="625"/>
      <c r="AA27" s="625"/>
      <c r="AB27" s="625"/>
      <c r="AC27" s="625"/>
      <c r="AD27" s="625"/>
      <c r="AE27" s="625"/>
      <c r="AF27" s="625"/>
      <c r="AG27" s="625"/>
      <c r="AH27" s="625"/>
      <c r="AI27" s="625"/>
      <c r="AJ27" s="625"/>
      <c r="AK27" s="625"/>
      <c r="AL27" s="625"/>
      <c r="AM27" s="625"/>
      <c r="AN27" s="625"/>
      <c r="AO27" s="625"/>
      <c r="AP27" s="625"/>
      <c r="AQ27" s="625"/>
      <c r="AR27" s="625"/>
      <c r="AS27" s="625"/>
      <c r="AT27" s="625"/>
      <c r="AU27" s="625"/>
      <c r="AV27" s="625"/>
      <c r="AW27" s="625"/>
      <c r="AX27" s="625"/>
      <c r="AY27" s="625"/>
      <c r="AZ27" s="625"/>
      <c r="BA27" s="625"/>
      <c r="BB27" s="625"/>
      <c r="BC27" s="625"/>
      <c r="BD27" s="625"/>
      <c r="BE27" s="626"/>
    </row>
    <row r="28" spans="1:81" ht="12.6" customHeight="1">
      <c r="A28" s="553"/>
      <c r="B28" s="554"/>
      <c r="C28" s="635"/>
      <c r="D28" s="624"/>
      <c r="E28" s="625"/>
      <c r="F28" s="625"/>
      <c r="G28" s="625"/>
      <c r="H28" s="625"/>
      <c r="I28" s="625"/>
      <c r="J28" s="625"/>
      <c r="K28" s="625"/>
      <c r="L28" s="625"/>
      <c r="M28" s="625"/>
      <c r="N28" s="625"/>
      <c r="O28" s="625"/>
      <c r="P28" s="625"/>
      <c r="Q28" s="625"/>
      <c r="R28" s="625"/>
      <c r="S28" s="625"/>
      <c r="T28" s="625"/>
      <c r="U28" s="625"/>
      <c r="V28" s="625"/>
      <c r="W28" s="625"/>
      <c r="X28" s="625"/>
      <c r="Y28" s="625"/>
      <c r="Z28" s="625"/>
      <c r="AA28" s="625"/>
      <c r="AB28" s="625"/>
      <c r="AC28" s="625"/>
      <c r="AD28" s="625"/>
      <c r="AE28" s="625"/>
      <c r="AF28" s="625"/>
      <c r="AG28" s="625"/>
      <c r="AH28" s="625"/>
      <c r="AI28" s="625"/>
      <c r="AJ28" s="625"/>
      <c r="AK28" s="625"/>
      <c r="AL28" s="625"/>
      <c r="AM28" s="625"/>
      <c r="AN28" s="625"/>
      <c r="AO28" s="625"/>
      <c r="AP28" s="625"/>
      <c r="AQ28" s="625"/>
      <c r="AR28" s="625"/>
      <c r="AS28" s="625"/>
      <c r="AT28" s="625"/>
      <c r="AU28" s="625"/>
      <c r="AV28" s="625"/>
      <c r="AW28" s="625"/>
      <c r="AX28" s="625"/>
      <c r="AY28" s="625"/>
      <c r="AZ28" s="625"/>
      <c r="BA28" s="625"/>
      <c r="BB28" s="625"/>
      <c r="BC28" s="625"/>
      <c r="BD28" s="625"/>
      <c r="BE28" s="626"/>
    </row>
    <row r="29" spans="1:81" ht="12.6" customHeight="1">
      <c r="A29" s="553"/>
      <c r="B29" s="554"/>
      <c r="C29" s="635"/>
      <c r="D29" s="624" t="str">
        <f>'秘書-input'!B58</f>
        <v/>
      </c>
      <c r="E29" s="625"/>
      <c r="F29" s="625"/>
      <c r="G29" s="625"/>
      <c r="H29" s="625"/>
      <c r="I29" s="625"/>
      <c r="J29" s="625"/>
      <c r="K29" s="625"/>
      <c r="L29" s="625"/>
      <c r="M29" s="625"/>
      <c r="N29" s="625"/>
      <c r="O29" s="625"/>
      <c r="P29" s="625"/>
      <c r="Q29" s="625"/>
      <c r="R29" s="625"/>
      <c r="S29" s="625"/>
      <c r="T29" s="625"/>
      <c r="U29" s="625"/>
      <c r="V29" s="625"/>
      <c r="W29" s="625"/>
      <c r="X29" s="625"/>
      <c r="Y29" s="625"/>
      <c r="Z29" s="625"/>
      <c r="AA29" s="625"/>
      <c r="AB29" s="625"/>
      <c r="AC29" s="625"/>
      <c r="AD29" s="625"/>
      <c r="AE29" s="625"/>
      <c r="AF29" s="625"/>
      <c r="AG29" s="625"/>
      <c r="AH29" s="625"/>
      <c r="AI29" s="625"/>
      <c r="AJ29" s="625"/>
      <c r="AK29" s="625"/>
      <c r="AL29" s="625"/>
      <c r="AM29" s="625"/>
      <c r="AN29" s="625"/>
      <c r="AO29" s="625"/>
      <c r="AP29" s="625"/>
      <c r="AQ29" s="625"/>
      <c r="AR29" s="625"/>
      <c r="AS29" s="625"/>
      <c r="AT29" s="625"/>
      <c r="AU29" s="625"/>
      <c r="AV29" s="625"/>
      <c r="AW29" s="625"/>
      <c r="AX29" s="625"/>
      <c r="AY29" s="625"/>
      <c r="AZ29" s="625"/>
      <c r="BA29" s="625"/>
      <c r="BB29" s="625"/>
      <c r="BC29" s="625"/>
      <c r="BD29" s="625"/>
      <c r="BE29" s="626"/>
    </row>
    <row r="30" spans="1:81" ht="12.6" customHeight="1">
      <c r="A30" s="553"/>
      <c r="B30" s="554"/>
      <c r="C30" s="635"/>
      <c r="D30" s="624"/>
      <c r="E30" s="625"/>
      <c r="F30" s="625"/>
      <c r="G30" s="625"/>
      <c r="H30" s="625"/>
      <c r="I30" s="625"/>
      <c r="J30" s="625"/>
      <c r="K30" s="625"/>
      <c r="L30" s="625"/>
      <c r="M30" s="625"/>
      <c r="N30" s="625"/>
      <c r="O30" s="625"/>
      <c r="P30" s="625"/>
      <c r="Q30" s="625"/>
      <c r="R30" s="625"/>
      <c r="S30" s="625"/>
      <c r="T30" s="625"/>
      <c r="U30" s="625"/>
      <c r="V30" s="625"/>
      <c r="W30" s="625"/>
      <c r="X30" s="625"/>
      <c r="Y30" s="625"/>
      <c r="Z30" s="625"/>
      <c r="AA30" s="625"/>
      <c r="AB30" s="625"/>
      <c r="AC30" s="625"/>
      <c r="AD30" s="625"/>
      <c r="AE30" s="625"/>
      <c r="AF30" s="625"/>
      <c r="AG30" s="625"/>
      <c r="AH30" s="625"/>
      <c r="AI30" s="625"/>
      <c r="AJ30" s="625"/>
      <c r="AK30" s="625"/>
      <c r="AL30" s="625"/>
      <c r="AM30" s="625"/>
      <c r="AN30" s="625"/>
      <c r="AO30" s="625"/>
      <c r="AP30" s="625"/>
      <c r="AQ30" s="625"/>
      <c r="AR30" s="625"/>
      <c r="AS30" s="625"/>
      <c r="AT30" s="625"/>
      <c r="AU30" s="625"/>
      <c r="AV30" s="625"/>
      <c r="AW30" s="625"/>
      <c r="AX30" s="625"/>
      <c r="AY30" s="625"/>
      <c r="AZ30" s="625"/>
      <c r="BA30" s="625"/>
      <c r="BB30" s="625"/>
      <c r="BC30" s="625"/>
      <c r="BD30" s="625"/>
      <c r="BE30" s="626"/>
    </row>
    <row r="31" spans="1:81" ht="12.6" customHeight="1">
      <c r="A31" s="553"/>
      <c r="B31" s="554"/>
      <c r="C31" s="635"/>
      <c r="D31" s="624"/>
      <c r="E31" s="625"/>
      <c r="F31" s="625"/>
      <c r="G31" s="625"/>
      <c r="H31" s="625"/>
      <c r="I31" s="625"/>
      <c r="J31" s="625"/>
      <c r="K31" s="625"/>
      <c r="L31" s="625"/>
      <c r="M31" s="625"/>
      <c r="N31" s="625"/>
      <c r="O31" s="625"/>
      <c r="P31" s="625"/>
      <c r="Q31" s="625"/>
      <c r="R31" s="625"/>
      <c r="S31" s="625"/>
      <c r="T31" s="625"/>
      <c r="U31" s="625"/>
      <c r="V31" s="625"/>
      <c r="W31" s="625"/>
      <c r="X31" s="625"/>
      <c r="Y31" s="625"/>
      <c r="Z31" s="625"/>
      <c r="AA31" s="625"/>
      <c r="AB31" s="625"/>
      <c r="AC31" s="625"/>
      <c r="AD31" s="625"/>
      <c r="AE31" s="625"/>
      <c r="AF31" s="625"/>
      <c r="AG31" s="625"/>
      <c r="AH31" s="625"/>
      <c r="AI31" s="625"/>
      <c r="AJ31" s="625"/>
      <c r="AK31" s="625"/>
      <c r="AL31" s="625"/>
      <c r="AM31" s="625"/>
      <c r="AN31" s="625"/>
      <c r="AO31" s="625"/>
      <c r="AP31" s="625"/>
      <c r="AQ31" s="625"/>
      <c r="AR31" s="625"/>
      <c r="AS31" s="625"/>
      <c r="AT31" s="625"/>
      <c r="AU31" s="625"/>
      <c r="AV31" s="625"/>
      <c r="AW31" s="625"/>
      <c r="AX31" s="625"/>
      <c r="AY31" s="625"/>
      <c r="AZ31" s="625"/>
      <c r="BA31" s="625"/>
      <c r="BB31" s="625"/>
      <c r="BC31" s="625"/>
      <c r="BD31" s="625"/>
      <c r="BE31" s="626"/>
    </row>
    <row r="32" spans="1:81" ht="12.6" customHeight="1">
      <c r="A32" s="553"/>
      <c r="B32" s="554"/>
      <c r="C32" s="635"/>
      <c r="D32" s="624" t="str">
        <f>'秘書-input'!B59</f>
        <v/>
      </c>
      <c r="E32" s="625"/>
      <c r="F32" s="625"/>
      <c r="G32" s="625"/>
      <c r="H32" s="625"/>
      <c r="I32" s="625"/>
      <c r="J32" s="625"/>
      <c r="K32" s="625"/>
      <c r="L32" s="625"/>
      <c r="M32" s="625"/>
      <c r="N32" s="625"/>
      <c r="O32" s="625"/>
      <c r="P32" s="625"/>
      <c r="Q32" s="625"/>
      <c r="R32" s="625"/>
      <c r="S32" s="625"/>
      <c r="T32" s="625"/>
      <c r="U32" s="625"/>
      <c r="V32" s="625"/>
      <c r="W32" s="625"/>
      <c r="X32" s="625"/>
      <c r="Y32" s="625"/>
      <c r="Z32" s="625"/>
      <c r="AA32" s="625"/>
      <c r="AB32" s="625"/>
      <c r="AC32" s="625"/>
      <c r="AD32" s="625"/>
      <c r="AE32" s="625"/>
      <c r="AF32" s="625"/>
      <c r="AG32" s="625"/>
      <c r="AH32" s="625"/>
      <c r="AI32" s="625"/>
      <c r="AJ32" s="625"/>
      <c r="AK32" s="625"/>
      <c r="AL32" s="625"/>
      <c r="AM32" s="625"/>
      <c r="AN32" s="625"/>
      <c r="AO32" s="625"/>
      <c r="AP32" s="625"/>
      <c r="AQ32" s="625"/>
      <c r="AR32" s="625"/>
      <c r="AS32" s="625"/>
      <c r="AT32" s="625"/>
      <c r="AU32" s="625"/>
      <c r="AV32" s="625"/>
      <c r="AW32" s="625"/>
      <c r="AX32" s="625"/>
      <c r="AY32" s="625"/>
      <c r="AZ32" s="625"/>
      <c r="BA32" s="625"/>
      <c r="BB32" s="625"/>
      <c r="BC32" s="625"/>
      <c r="BD32" s="625"/>
      <c r="BE32" s="626"/>
    </row>
    <row r="33" spans="1:57" ht="12.6" customHeight="1">
      <c r="A33" s="553"/>
      <c r="B33" s="554"/>
      <c r="C33" s="635"/>
      <c r="D33" s="624"/>
      <c r="E33" s="625"/>
      <c r="F33" s="625"/>
      <c r="G33" s="625"/>
      <c r="H33" s="625"/>
      <c r="I33" s="625"/>
      <c r="J33" s="625"/>
      <c r="K33" s="625"/>
      <c r="L33" s="625"/>
      <c r="M33" s="625"/>
      <c r="N33" s="625"/>
      <c r="O33" s="625"/>
      <c r="P33" s="625"/>
      <c r="Q33" s="625"/>
      <c r="R33" s="625"/>
      <c r="S33" s="625"/>
      <c r="T33" s="625"/>
      <c r="U33" s="625"/>
      <c r="V33" s="625"/>
      <c r="W33" s="625"/>
      <c r="X33" s="625"/>
      <c r="Y33" s="625"/>
      <c r="Z33" s="625"/>
      <c r="AA33" s="625"/>
      <c r="AB33" s="625"/>
      <c r="AC33" s="625"/>
      <c r="AD33" s="625"/>
      <c r="AE33" s="625"/>
      <c r="AF33" s="625"/>
      <c r="AG33" s="625"/>
      <c r="AH33" s="625"/>
      <c r="AI33" s="625"/>
      <c r="AJ33" s="625"/>
      <c r="AK33" s="625"/>
      <c r="AL33" s="625"/>
      <c r="AM33" s="625"/>
      <c r="AN33" s="625"/>
      <c r="AO33" s="625"/>
      <c r="AP33" s="625"/>
      <c r="AQ33" s="625"/>
      <c r="AR33" s="625"/>
      <c r="AS33" s="625"/>
      <c r="AT33" s="625"/>
      <c r="AU33" s="625"/>
      <c r="AV33" s="625"/>
      <c r="AW33" s="625"/>
      <c r="AX33" s="625"/>
      <c r="AY33" s="625"/>
      <c r="AZ33" s="625"/>
      <c r="BA33" s="625"/>
      <c r="BB33" s="625"/>
      <c r="BC33" s="625"/>
      <c r="BD33" s="625"/>
      <c r="BE33" s="626"/>
    </row>
    <row r="34" spans="1:57" ht="12.6" customHeight="1" thickBot="1">
      <c r="A34" s="555"/>
      <c r="B34" s="556"/>
      <c r="C34" s="636"/>
      <c r="D34" s="627"/>
      <c r="E34" s="628"/>
      <c r="F34" s="628"/>
      <c r="G34" s="628"/>
      <c r="H34" s="628"/>
      <c r="I34" s="628"/>
      <c r="J34" s="628"/>
      <c r="K34" s="628"/>
      <c r="L34" s="628"/>
      <c r="M34" s="628"/>
      <c r="N34" s="628"/>
      <c r="O34" s="628"/>
      <c r="P34" s="628"/>
      <c r="Q34" s="628"/>
      <c r="R34" s="628"/>
      <c r="S34" s="628"/>
      <c r="T34" s="628"/>
      <c r="U34" s="628"/>
      <c r="V34" s="628"/>
      <c r="W34" s="628"/>
      <c r="X34" s="628"/>
      <c r="Y34" s="628"/>
      <c r="Z34" s="628"/>
      <c r="AA34" s="628"/>
      <c r="AB34" s="628"/>
      <c r="AC34" s="628"/>
      <c r="AD34" s="628"/>
      <c r="AE34" s="628"/>
      <c r="AF34" s="628"/>
      <c r="AG34" s="628"/>
      <c r="AH34" s="628"/>
      <c r="AI34" s="628"/>
      <c r="AJ34" s="628"/>
      <c r="AK34" s="628"/>
      <c r="AL34" s="628"/>
      <c r="AM34" s="628"/>
      <c r="AN34" s="628"/>
      <c r="AO34" s="628"/>
      <c r="AP34" s="628"/>
      <c r="AQ34" s="628"/>
      <c r="AR34" s="628"/>
      <c r="AS34" s="628"/>
      <c r="AT34" s="628"/>
      <c r="AU34" s="628"/>
      <c r="AV34" s="628"/>
      <c r="AW34" s="628"/>
      <c r="AX34" s="628"/>
      <c r="AY34" s="628"/>
      <c r="AZ34" s="628"/>
      <c r="BA34" s="628"/>
      <c r="BB34" s="628"/>
      <c r="BC34" s="628"/>
      <c r="BD34" s="628"/>
      <c r="BE34" s="629"/>
    </row>
    <row r="35" spans="1:57" ht="12.6" customHeight="1" thickBot="1">
      <c r="A35" s="544" t="s">
        <v>314</v>
      </c>
      <c r="B35" s="544"/>
      <c r="C35" s="544"/>
      <c r="D35" s="544"/>
      <c r="E35" s="544"/>
      <c r="F35" s="544"/>
      <c r="G35" s="544"/>
      <c r="H35" s="544"/>
      <c r="I35" s="544"/>
      <c r="J35" s="544"/>
      <c r="K35" s="544"/>
      <c r="L35" s="544"/>
      <c r="M35" s="544"/>
      <c r="N35" s="544"/>
      <c r="O35" s="544"/>
      <c r="P35" s="544"/>
      <c r="Q35" s="544"/>
      <c r="R35" s="544"/>
      <c r="S35" s="544"/>
      <c r="T35" s="544"/>
      <c r="U35" s="544"/>
      <c r="V35" s="544"/>
      <c r="W35" s="544"/>
      <c r="X35" s="544"/>
      <c r="Y35" s="544"/>
      <c r="Z35" s="544"/>
      <c r="AA35" s="544"/>
      <c r="AB35" s="544"/>
      <c r="AC35" s="505" t="s">
        <v>314</v>
      </c>
      <c r="AD35" s="505"/>
      <c r="AE35" s="505"/>
      <c r="AF35" s="505"/>
      <c r="AG35" s="505"/>
      <c r="AH35" s="505"/>
      <c r="AI35" s="505"/>
      <c r="AJ35" s="505"/>
      <c r="AK35" s="505"/>
      <c r="AL35" s="505"/>
      <c r="AM35" s="505"/>
      <c r="AN35" s="505"/>
      <c r="AO35" s="505"/>
      <c r="AP35" s="505"/>
      <c r="AQ35" s="505"/>
      <c r="AR35" s="505"/>
      <c r="AS35" s="505"/>
      <c r="AT35" s="505"/>
      <c r="AU35" s="505"/>
      <c r="AV35" s="505"/>
      <c r="AW35" s="505"/>
      <c r="AX35" s="505"/>
      <c r="AY35" s="505"/>
      <c r="AZ35" s="505"/>
      <c r="BA35" s="505"/>
      <c r="BB35" s="505"/>
      <c r="BC35" s="505"/>
      <c r="BD35" s="505"/>
      <c r="BE35" s="505"/>
    </row>
    <row r="36" spans="1:57" ht="12.6" customHeight="1" thickBot="1">
      <c r="A36" s="544"/>
      <c r="B36" s="544"/>
      <c r="C36" s="544"/>
      <c r="D36" s="544"/>
      <c r="E36" s="544"/>
      <c r="F36" s="544"/>
      <c r="G36" s="544"/>
      <c r="H36" s="544"/>
      <c r="I36" s="544"/>
      <c r="J36" s="544"/>
      <c r="K36" s="544"/>
      <c r="L36" s="544"/>
      <c r="M36" s="544"/>
      <c r="N36" s="544"/>
      <c r="O36" s="544"/>
      <c r="P36" s="544"/>
      <c r="Q36" s="544"/>
      <c r="R36" s="544"/>
      <c r="S36" s="544"/>
      <c r="T36" s="544"/>
      <c r="U36" s="544"/>
      <c r="V36" s="544"/>
      <c r="W36" s="544"/>
      <c r="X36" s="544"/>
      <c r="Y36" s="544"/>
      <c r="Z36" s="544"/>
      <c r="AA36" s="544"/>
      <c r="AB36" s="544"/>
      <c r="AC36" s="505"/>
      <c r="AD36" s="505"/>
      <c r="AE36" s="505"/>
      <c r="AF36" s="505"/>
      <c r="AG36" s="505"/>
      <c r="AH36" s="505"/>
      <c r="AI36" s="505"/>
      <c r="AJ36" s="505"/>
      <c r="AK36" s="505"/>
      <c r="AL36" s="505"/>
      <c r="AM36" s="505"/>
      <c r="AN36" s="505"/>
      <c r="AO36" s="505"/>
      <c r="AP36" s="505"/>
      <c r="AQ36" s="505"/>
      <c r="AR36" s="505"/>
      <c r="AS36" s="505"/>
      <c r="AT36" s="505"/>
      <c r="AU36" s="505"/>
      <c r="AV36" s="505"/>
      <c r="AW36" s="505"/>
      <c r="AX36" s="505"/>
      <c r="AY36" s="505"/>
      <c r="AZ36" s="505"/>
      <c r="BA36" s="505"/>
      <c r="BB36" s="505"/>
      <c r="BC36" s="505"/>
      <c r="BD36" s="505"/>
      <c r="BE36" s="505"/>
    </row>
    <row r="37" spans="1:57" ht="12.6" customHeight="1" thickBot="1">
      <c r="A37" s="544"/>
      <c r="B37" s="544"/>
      <c r="C37" s="544"/>
      <c r="D37" s="544"/>
      <c r="E37" s="544"/>
      <c r="F37" s="544"/>
      <c r="G37" s="544"/>
      <c r="H37" s="544"/>
      <c r="I37" s="544"/>
      <c r="J37" s="544"/>
      <c r="K37" s="544"/>
      <c r="L37" s="544"/>
      <c r="M37" s="544"/>
      <c r="N37" s="544"/>
      <c r="O37" s="544"/>
      <c r="P37" s="544"/>
      <c r="Q37" s="544"/>
      <c r="R37" s="544"/>
      <c r="S37" s="544"/>
      <c r="T37" s="544"/>
      <c r="U37" s="544"/>
      <c r="V37" s="544"/>
      <c r="W37" s="544"/>
      <c r="X37" s="544"/>
      <c r="Y37" s="544"/>
      <c r="Z37" s="544"/>
      <c r="AA37" s="544"/>
      <c r="AB37" s="544"/>
      <c r="AC37" s="505"/>
      <c r="AD37" s="505"/>
      <c r="AE37" s="505"/>
      <c r="AF37" s="505"/>
      <c r="AG37" s="505"/>
      <c r="AH37" s="505"/>
      <c r="AI37" s="505"/>
      <c r="AJ37" s="505"/>
      <c r="AK37" s="505"/>
      <c r="AL37" s="505"/>
      <c r="AM37" s="505"/>
      <c r="AN37" s="505"/>
      <c r="AO37" s="505"/>
      <c r="AP37" s="505"/>
      <c r="AQ37" s="505"/>
      <c r="AR37" s="505"/>
      <c r="AS37" s="505"/>
      <c r="AT37" s="505"/>
      <c r="AU37" s="505"/>
      <c r="AV37" s="505"/>
      <c r="AW37" s="505"/>
      <c r="AX37" s="505"/>
      <c r="AY37" s="505"/>
      <c r="AZ37" s="505"/>
      <c r="BA37" s="505"/>
      <c r="BB37" s="505"/>
      <c r="BC37" s="505"/>
      <c r="BD37" s="505"/>
      <c r="BE37" s="505"/>
    </row>
    <row r="38" spans="1:57" ht="12.6" customHeight="1" thickBot="1">
      <c r="A38" s="544"/>
      <c r="B38" s="544"/>
      <c r="C38" s="544"/>
      <c r="D38" s="544"/>
      <c r="E38" s="544"/>
      <c r="F38" s="544"/>
      <c r="G38" s="544"/>
      <c r="H38" s="544"/>
      <c r="I38" s="544"/>
      <c r="J38" s="544"/>
      <c r="K38" s="544"/>
      <c r="L38" s="544"/>
      <c r="M38" s="544"/>
      <c r="N38" s="544"/>
      <c r="O38" s="544"/>
      <c r="P38" s="544"/>
      <c r="Q38" s="544"/>
      <c r="R38" s="544"/>
      <c r="S38" s="544"/>
      <c r="T38" s="544"/>
      <c r="U38" s="544"/>
      <c r="V38" s="544"/>
      <c r="W38" s="544"/>
      <c r="X38" s="544"/>
      <c r="Y38" s="544"/>
      <c r="Z38" s="544"/>
      <c r="AA38" s="544"/>
      <c r="AB38" s="544"/>
      <c r="AC38" s="505"/>
      <c r="AD38" s="505"/>
      <c r="AE38" s="505"/>
      <c r="AF38" s="505"/>
      <c r="AG38" s="505"/>
      <c r="AH38" s="505"/>
      <c r="AI38" s="505"/>
      <c r="AJ38" s="505"/>
      <c r="AK38" s="505"/>
      <c r="AL38" s="505"/>
      <c r="AM38" s="505"/>
      <c r="AN38" s="505"/>
      <c r="AO38" s="505"/>
      <c r="AP38" s="505"/>
      <c r="AQ38" s="505"/>
      <c r="AR38" s="505"/>
      <c r="AS38" s="505"/>
      <c r="AT38" s="505"/>
      <c r="AU38" s="505"/>
      <c r="AV38" s="505"/>
      <c r="AW38" s="505"/>
      <c r="AX38" s="505"/>
      <c r="AY38" s="505"/>
      <c r="AZ38" s="505"/>
      <c r="BA38" s="505"/>
      <c r="BB38" s="505"/>
      <c r="BC38" s="505"/>
      <c r="BD38" s="505"/>
      <c r="BE38" s="505"/>
    </row>
    <row r="39" spans="1:57" ht="12.6" customHeight="1" thickBot="1">
      <c r="A39" s="544"/>
      <c r="B39" s="544"/>
      <c r="C39" s="544"/>
      <c r="D39" s="544"/>
      <c r="E39" s="544"/>
      <c r="F39" s="544"/>
      <c r="G39" s="544"/>
      <c r="H39" s="544"/>
      <c r="I39" s="544"/>
      <c r="J39" s="544"/>
      <c r="K39" s="544"/>
      <c r="L39" s="544"/>
      <c r="M39" s="544"/>
      <c r="N39" s="544"/>
      <c r="O39" s="544"/>
      <c r="P39" s="544"/>
      <c r="Q39" s="544"/>
      <c r="R39" s="544"/>
      <c r="S39" s="544"/>
      <c r="T39" s="544"/>
      <c r="U39" s="544"/>
      <c r="V39" s="544"/>
      <c r="W39" s="544"/>
      <c r="X39" s="544"/>
      <c r="Y39" s="544"/>
      <c r="Z39" s="544"/>
      <c r="AA39" s="544"/>
      <c r="AB39" s="544"/>
      <c r="AC39" s="505"/>
      <c r="AD39" s="505"/>
      <c r="AE39" s="505"/>
      <c r="AF39" s="505"/>
      <c r="AG39" s="505"/>
      <c r="AH39" s="505"/>
      <c r="AI39" s="505"/>
      <c r="AJ39" s="505"/>
      <c r="AK39" s="505"/>
      <c r="AL39" s="505"/>
      <c r="AM39" s="505"/>
      <c r="AN39" s="505"/>
      <c r="AO39" s="505"/>
      <c r="AP39" s="505"/>
      <c r="AQ39" s="505"/>
      <c r="AR39" s="505"/>
      <c r="AS39" s="505"/>
      <c r="AT39" s="505"/>
      <c r="AU39" s="505"/>
      <c r="AV39" s="505"/>
      <c r="AW39" s="505"/>
      <c r="AX39" s="505"/>
      <c r="AY39" s="505"/>
      <c r="AZ39" s="505"/>
      <c r="BA39" s="505"/>
      <c r="BB39" s="505"/>
      <c r="BC39" s="505"/>
      <c r="BD39" s="505"/>
      <c r="BE39" s="505"/>
    </row>
    <row r="40" spans="1:57" ht="12.6" customHeight="1" thickBot="1">
      <c r="A40" s="544"/>
      <c r="B40" s="544"/>
      <c r="C40" s="544"/>
      <c r="D40" s="544"/>
      <c r="E40" s="544"/>
      <c r="F40" s="544"/>
      <c r="G40" s="544"/>
      <c r="H40" s="544"/>
      <c r="I40" s="544"/>
      <c r="J40" s="544"/>
      <c r="K40" s="544"/>
      <c r="L40" s="544"/>
      <c r="M40" s="544"/>
      <c r="N40" s="544"/>
      <c r="O40" s="544"/>
      <c r="P40" s="544"/>
      <c r="Q40" s="544"/>
      <c r="R40" s="544"/>
      <c r="S40" s="544"/>
      <c r="T40" s="544"/>
      <c r="U40" s="544"/>
      <c r="V40" s="544"/>
      <c r="W40" s="544"/>
      <c r="X40" s="544"/>
      <c r="Y40" s="544"/>
      <c r="Z40" s="544"/>
      <c r="AA40" s="544"/>
      <c r="AB40" s="544"/>
      <c r="AC40" s="505"/>
      <c r="AD40" s="505"/>
      <c r="AE40" s="505"/>
      <c r="AF40" s="505"/>
      <c r="AG40" s="505"/>
      <c r="AH40" s="505"/>
      <c r="AI40" s="505"/>
      <c r="AJ40" s="505"/>
      <c r="AK40" s="505"/>
      <c r="AL40" s="505"/>
      <c r="AM40" s="505"/>
      <c r="AN40" s="505"/>
      <c r="AO40" s="505"/>
      <c r="AP40" s="505"/>
      <c r="AQ40" s="505"/>
      <c r="AR40" s="505"/>
      <c r="AS40" s="505"/>
      <c r="AT40" s="505"/>
      <c r="AU40" s="505"/>
      <c r="AV40" s="505"/>
      <c r="AW40" s="505"/>
      <c r="AX40" s="505"/>
      <c r="AY40" s="505"/>
      <c r="AZ40" s="505"/>
      <c r="BA40" s="505"/>
      <c r="BB40" s="505"/>
      <c r="BC40" s="505"/>
      <c r="BD40" s="505"/>
      <c r="BE40" s="505"/>
    </row>
    <row r="41" spans="1:57" ht="12.6" customHeight="1" thickBot="1">
      <c r="A41" s="544"/>
      <c r="B41" s="544"/>
      <c r="C41" s="544"/>
      <c r="D41" s="544"/>
      <c r="E41" s="544"/>
      <c r="F41" s="544"/>
      <c r="G41" s="544"/>
      <c r="H41" s="544"/>
      <c r="I41" s="544"/>
      <c r="J41" s="544"/>
      <c r="K41" s="544"/>
      <c r="L41" s="544"/>
      <c r="M41" s="544"/>
      <c r="N41" s="544"/>
      <c r="O41" s="544"/>
      <c r="P41" s="544"/>
      <c r="Q41" s="544"/>
      <c r="R41" s="544"/>
      <c r="S41" s="544"/>
      <c r="T41" s="544"/>
      <c r="U41" s="544"/>
      <c r="V41" s="544"/>
      <c r="W41" s="544"/>
      <c r="X41" s="544"/>
      <c r="Y41" s="544"/>
      <c r="Z41" s="544"/>
      <c r="AA41" s="544"/>
      <c r="AB41" s="544"/>
      <c r="AC41" s="505"/>
      <c r="AD41" s="505"/>
      <c r="AE41" s="505"/>
      <c r="AF41" s="505"/>
      <c r="AG41" s="505"/>
      <c r="AH41" s="505"/>
      <c r="AI41" s="505"/>
      <c r="AJ41" s="505"/>
      <c r="AK41" s="505"/>
      <c r="AL41" s="505"/>
      <c r="AM41" s="505"/>
      <c r="AN41" s="505"/>
      <c r="AO41" s="505"/>
      <c r="AP41" s="505"/>
      <c r="AQ41" s="505"/>
      <c r="AR41" s="505"/>
      <c r="AS41" s="505"/>
      <c r="AT41" s="505"/>
      <c r="AU41" s="505"/>
      <c r="AV41" s="505"/>
      <c r="AW41" s="505"/>
      <c r="AX41" s="505"/>
      <c r="AY41" s="505"/>
      <c r="AZ41" s="505"/>
      <c r="BA41" s="505"/>
      <c r="BB41" s="505"/>
      <c r="BC41" s="505"/>
      <c r="BD41" s="505"/>
      <c r="BE41" s="505"/>
    </row>
    <row r="42" spans="1:57" ht="12.6" customHeight="1" thickBot="1">
      <c r="A42" s="544"/>
      <c r="B42" s="544"/>
      <c r="C42" s="544"/>
      <c r="D42" s="544"/>
      <c r="E42" s="544"/>
      <c r="F42" s="544"/>
      <c r="G42" s="544"/>
      <c r="H42" s="544"/>
      <c r="I42" s="544"/>
      <c r="J42" s="544"/>
      <c r="K42" s="544"/>
      <c r="L42" s="544"/>
      <c r="M42" s="544"/>
      <c r="N42" s="544"/>
      <c r="O42" s="544"/>
      <c r="P42" s="544"/>
      <c r="Q42" s="544"/>
      <c r="R42" s="544"/>
      <c r="S42" s="544"/>
      <c r="T42" s="544"/>
      <c r="U42" s="544"/>
      <c r="V42" s="544"/>
      <c r="W42" s="544"/>
      <c r="X42" s="544"/>
      <c r="Y42" s="544"/>
      <c r="Z42" s="544"/>
      <c r="AA42" s="544"/>
      <c r="AB42" s="544"/>
      <c r="AC42" s="505"/>
      <c r="AD42" s="505"/>
      <c r="AE42" s="505"/>
      <c r="AF42" s="505"/>
      <c r="AG42" s="505"/>
      <c r="AH42" s="505"/>
      <c r="AI42" s="505"/>
      <c r="AJ42" s="505"/>
      <c r="AK42" s="505"/>
      <c r="AL42" s="505"/>
      <c r="AM42" s="505"/>
      <c r="AN42" s="505"/>
      <c r="AO42" s="505"/>
      <c r="AP42" s="505"/>
      <c r="AQ42" s="505"/>
      <c r="AR42" s="505"/>
      <c r="AS42" s="505"/>
      <c r="AT42" s="505"/>
      <c r="AU42" s="505"/>
      <c r="AV42" s="505"/>
      <c r="AW42" s="505"/>
      <c r="AX42" s="505"/>
      <c r="AY42" s="505"/>
      <c r="AZ42" s="505"/>
      <c r="BA42" s="505"/>
      <c r="BB42" s="505"/>
      <c r="BC42" s="505"/>
      <c r="BD42" s="505"/>
      <c r="BE42" s="505"/>
    </row>
    <row r="43" spans="1:57" ht="12.6" customHeight="1" thickBot="1">
      <c r="A43" s="544"/>
      <c r="B43" s="544"/>
      <c r="C43" s="544"/>
      <c r="D43" s="544"/>
      <c r="E43" s="544"/>
      <c r="F43" s="544"/>
      <c r="G43" s="544"/>
      <c r="H43" s="544"/>
      <c r="I43" s="544"/>
      <c r="J43" s="544"/>
      <c r="K43" s="544"/>
      <c r="L43" s="544"/>
      <c r="M43" s="544"/>
      <c r="N43" s="544"/>
      <c r="O43" s="544"/>
      <c r="P43" s="544"/>
      <c r="Q43" s="544"/>
      <c r="R43" s="544"/>
      <c r="S43" s="544"/>
      <c r="T43" s="544"/>
      <c r="U43" s="544"/>
      <c r="V43" s="544"/>
      <c r="W43" s="544"/>
      <c r="X43" s="544"/>
      <c r="Y43" s="544"/>
      <c r="Z43" s="544"/>
      <c r="AA43" s="544"/>
      <c r="AB43" s="544"/>
      <c r="AC43" s="505"/>
      <c r="AD43" s="505"/>
      <c r="AE43" s="505"/>
      <c r="AF43" s="505"/>
      <c r="AG43" s="505"/>
      <c r="AH43" s="505"/>
      <c r="AI43" s="505"/>
      <c r="AJ43" s="505"/>
      <c r="AK43" s="505"/>
      <c r="AL43" s="505"/>
      <c r="AM43" s="505"/>
      <c r="AN43" s="505"/>
      <c r="AO43" s="505"/>
      <c r="AP43" s="505"/>
      <c r="AQ43" s="505"/>
      <c r="AR43" s="505"/>
      <c r="AS43" s="505"/>
      <c r="AT43" s="505"/>
      <c r="AU43" s="505"/>
      <c r="AV43" s="505"/>
      <c r="AW43" s="505"/>
      <c r="AX43" s="505"/>
      <c r="AY43" s="505"/>
      <c r="AZ43" s="505"/>
      <c r="BA43" s="505"/>
      <c r="BB43" s="505"/>
      <c r="BC43" s="505"/>
      <c r="BD43" s="505"/>
      <c r="BE43" s="505"/>
    </row>
    <row r="44" spans="1:57" ht="12.6" customHeight="1" thickBot="1">
      <c r="A44" s="544"/>
      <c r="B44" s="544"/>
      <c r="C44" s="544"/>
      <c r="D44" s="544"/>
      <c r="E44" s="544"/>
      <c r="F44" s="544"/>
      <c r="G44" s="544"/>
      <c r="H44" s="544"/>
      <c r="I44" s="544"/>
      <c r="J44" s="544"/>
      <c r="K44" s="544"/>
      <c r="L44" s="544"/>
      <c r="M44" s="544"/>
      <c r="N44" s="544"/>
      <c r="O44" s="544"/>
      <c r="P44" s="544"/>
      <c r="Q44" s="544"/>
      <c r="R44" s="544"/>
      <c r="S44" s="544"/>
      <c r="T44" s="544"/>
      <c r="U44" s="544"/>
      <c r="V44" s="544"/>
      <c r="W44" s="544"/>
      <c r="X44" s="544"/>
      <c r="Y44" s="544"/>
      <c r="Z44" s="544"/>
      <c r="AA44" s="544"/>
      <c r="AB44" s="544"/>
      <c r="AC44" s="505"/>
      <c r="AD44" s="505"/>
      <c r="AE44" s="505"/>
      <c r="AF44" s="505"/>
      <c r="AG44" s="505"/>
      <c r="AH44" s="505"/>
      <c r="AI44" s="505"/>
      <c r="AJ44" s="505"/>
      <c r="AK44" s="505"/>
      <c r="AL44" s="505"/>
      <c r="AM44" s="505"/>
      <c r="AN44" s="505"/>
      <c r="AO44" s="505"/>
      <c r="AP44" s="505"/>
      <c r="AQ44" s="505"/>
      <c r="AR44" s="505"/>
      <c r="AS44" s="505"/>
      <c r="AT44" s="505"/>
      <c r="AU44" s="505"/>
      <c r="AV44" s="505"/>
      <c r="AW44" s="505"/>
      <c r="AX44" s="505"/>
      <c r="AY44" s="505"/>
      <c r="AZ44" s="505"/>
      <c r="BA44" s="505"/>
      <c r="BB44" s="505"/>
      <c r="BC44" s="505"/>
      <c r="BD44" s="505"/>
      <c r="BE44" s="505"/>
    </row>
    <row r="45" spans="1:57" ht="12.6" customHeight="1" thickBot="1">
      <c r="A45" s="544"/>
      <c r="B45" s="544"/>
      <c r="C45" s="544"/>
      <c r="D45" s="544"/>
      <c r="E45" s="544"/>
      <c r="F45" s="544"/>
      <c r="G45" s="544"/>
      <c r="H45" s="544"/>
      <c r="I45" s="544"/>
      <c r="J45" s="544"/>
      <c r="K45" s="544"/>
      <c r="L45" s="544"/>
      <c r="M45" s="544"/>
      <c r="N45" s="544"/>
      <c r="O45" s="544"/>
      <c r="P45" s="544"/>
      <c r="Q45" s="544"/>
      <c r="R45" s="544"/>
      <c r="S45" s="544"/>
      <c r="T45" s="544"/>
      <c r="U45" s="544"/>
      <c r="V45" s="544"/>
      <c r="W45" s="544"/>
      <c r="X45" s="544"/>
      <c r="Y45" s="544"/>
      <c r="Z45" s="544"/>
      <c r="AA45" s="544"/>
      <c r="AB45" s="544"/>
      <c r="AC45" s="505"/>
      <c r="AD45" s="505"/>
      <c r="AE45" s="505"/>
      <c r="AF45" s="505"/>
      <c r="AG45" s="505"/>
      <c r="AH45" s="505"/>
      <c r="AI45" s="505"/>
      <c r="AJ45" s="505"/>
      <c r="AK45" s="505"/>
      <c r="AL45" s="505"/>
      <c r="AM45" s="505"/>
      <c r="AN45" s="505"/>
      <c r="AO45" s="505"/>
      <c r="AP45" s="505"/>
      <c r="AQ45" s="505"/>
      <c r="AR45" s="505"/>
      <c r="AS45" s="505"/>
      <c r="AT45" s="505"/>
      <c r="AU45" s="505"/>
      <c r="AV45" s="505"/>
      <c r="AW45" s="505"/>
      <c r="AX45" s="505"/>
      <c r="AY45" s="505"/>
      <c r="AZ45" s="505"/>
      <c r="BA45" s="505"/>
      <c r="BB45" s="505"/>
      <c r="BC45" s="505"/>
      <c r="BD45" s="505"/>
      <c r="BE45" s="505"/>
    </row>
    <row r="46" spans="1:57" ht="12.6" customHeight="1" thickBot="1">
      <c r="A46" s="544"/>
      <c r="B46" s="544"/>
      <c r="C46" s="544"/>
      <c r="D46" s="544"/>
      <c r="E46" s="544"/>
      <c r="F46" s="544"/>
      <c r="G46" s="544"/>
      <c r="H46" s="544"/>
      <c r="I46" s="544"/>
      <c r="J46" s="544"/>
      <c r="K46" s="544"/>
      <c r="L46" s="544"/>
      <c r="M46" s="544"/>
      <c r="N46" s="544"/>
      <c r="O46" s="544"/>
      <c r="P46" s="544"/>
      <c r="Q46" s="544"/>
      <c r="R46" s="544"/>
      <c r="S46" s="544"/>
      <c r="T46" s="544"/>
      <c r="U46" s="544"/>
      <c r="V46" s="544"/>
      <c r="W46" s="544"/>
      <c r="X46" s="544"/>
      <c r="Y46" s="544"/>
      <c r="Z46" s="544"/>
      <c r="AA46" s="544"/>
      <c r="AB46" s="544"/>
      <c r="AC46" s="505"/>
      <c r="AD46" s="505"/>
      <c r="AE46" s="505"/>
      <c r="AF46" s="505"/>
      <c r="AG46" s="505"/>
      <c r="AH46" s="505"/>
      <c r="AI46" s="505"/>
      <c r="AJ46" s="505"/>
      <c r="AK46" s="505"/>
      <c r="AL46" s="505"/>
      <c r="AM46" s="505"/>
      <c r="AN46" s="505"/>
      <c r="AO46" s="505"/>
      <c r="AP46" s="505"/>
      <c r="AQ46" s="505"/>
      <c r="AR46" s="505"/>
      <c r="AS46" s="505"/>
      <c r="AT46" s="505"/>
      <c r="AU46" s="505"/>
      <c r="AV46" s="505"/>
      <c r="AW46" s="505"/>
      <c r="AX46" s="505"/>
      <c r="AY46" s="505"/>
      <c r="AZ46" s="505"/>
      <c r="BA46" s="505"/>
      <c r="BB46" s="505"/>
      <c r="BC46" s="505"/>
      <c r="BD46" s="505"/>
      <c r="BE46" s="505"/>
    </row>
    <row r="47" spans="1:57" ht="12.6" customHeight="1" thickBot="1">
      <c r="A47" s="544"/>
      <c r="B47" s="544"/>
      <c r="C47" s="544"/>
      <c r="D47" s="544"/>
      <c r="E47" s="544"/>
      <c r="F47" s="544"/>
      <c r="G47" s="544"/>
      <c r="H47" s="544"/>
      <c r="I47" s="544"/>
      <c r="J47" s="544"/>
      <c r="K47" s="544"/>
      <c r="L47" s="544"/>
      <c r="M47" s="544"/>
      <c r="N47" s="544"/>
      <c r="O47" s="544"/>
      <c r="P47" s="544"/>
      <c r="Q47" s="544"/>
      <c r="R47" s="544"/>
      <c r="S47" s="544"/>
      <c r="T47" s="544"/>
      <c r="U47" s="544"/>
      <c r="V47" s="544"/>
      <c r="W47" s="544"/>
      <c r="X47" s="544"/>
      <c r="Y47" s="544"/>
      <c r="Z47" s="544"/>
      <c r="AA47" s="544"/>
      <c r="AB47" s="544"/>
      <c r="AC47" s="505"/>
      <c r="AD47" s="505"/>
      <c r="AE47" s="505"/>
      <c r="AF47" s="505"/>
      <c r="AG47" s="505"/>
      <c r="AH47" s="505"/>
      <c r="AI47" s="505"/>
      <c r="AJ47" s="505"/>
      <c r="AK47" s="505"/>
      <c r="AL47" s="505"/>
      <c r="AM47" s="505"/>
      <c r="AN47" s="505"/>
      <c r="AO47" s="505"/>
      <c r="AP47" s="505"/>
      <c r="AQ47" s="505"/>
      <c r="AR47" s="505"/>
      <c r="AS47" s="505"/>
      <c r="AT47" s="505"/>
      <c r="AU47" s="505"/>
      <c r="AV47" s="505"/>
      <c r="AW47" s="505"/>
      <c r="AX47" s="505"/>
      <c r="AY47" s="505"/>
      <c r="AZ47" s="505"/>
      <c r="BA47" s="505"/>
      <c r="BB47" s="505"/>
      <c r="BC47" s="505"/>
      <c r="BD47" s="505"/>
      <c r="BE47" s="505"/>
    </row>
    <row r="48" spans="1:57" ht="12.6" customHeight="1" thickBot="1">
      <c r="A48" s="544"/>
      <c r="B48" s="544"/>
      <c r="C48" s="544"/>
      <c r="D48" s="544"/>
      <c r="E48" s="544"/>
      <c r="F48" s="544"/>
      <c r="G48" s="544"/>
      <c r="H48" s="544"/>
      <c r="I48" s="544"/>
      <c r="J48" s="544"/>
      <c r="K48" s="544"/>
      <c r="L48" s="544"/>
      <c r="M48" s="544"/>
      <c r="N48" s="544"/>
      <c r="O48" s="544"/>
      <c r="P48" s="544"/>
      <c r="Q48" s="544"/>
      <c r="R48" s="544"/>
      <c r="S48" s="544"/>
      <c r="T48" s="544"/>
      <c r="U48" s="544"/>
      <c r="V48" s="544"/>
      <c r="W48" s="544"/>
      <c r="X48" s="544"/>
      <c r="Y48" s="544"/>
      <c r="Z48" s="544"/>
      <c r="AA48" s="544"/>
      <c r="AB48" s="544"/>
      <c r="AC48" s="505"/>
      <c r="AD48" s="505"/>
      <c r="AE48" s="505"/>
      <c r="AF48" s="505"/>
      <c r="AG48" s="505"/>
      <c r="AH48" s="505"/>
      <c r="AI48" s="505"/>
      <c r="AJ48" s="505"/>
      <c r="AK48" s="505"/>
      <c r="AL48" s="505"/>
      <c r="AM48" s="505"/>
      <c r="AN48" s="505"/>
      <c r="AO48" s="505"/>
      <c r="AP48" s="505"/>
      <c r="AQ48" s="505"/>
      <c r="AR48" s="505"/>
      <c r="AS48" s="505"/>
      <c r="AT48" s="505"/>
      <c r="AU48" s="505"/>
      <c r="AV48" s="505"/>
      <c r="AW48" s="505"/>
      <c r="AX48" s="505"/>
      <c r="AY48" s="505"/>
      <c r="AZ48" s="505"/>
      <c r="BA48" s="505"/>
      <c r="BB48" s="505"/>
      <c r="BC48" s="505"/>
      <c r="BD48" s="505"/>
      <c r="BE48" s="505"/>
    </row>
    <row r="49" spans="1:57" ht="12.6" customHeight="1" thickBot="1">
      <c r="A49" s="544"/>
      <c r="B49" s="544"/>
      <c r="C49" s="544"/>
      <c r="D49" s="544"/>
      <c r="E49" s="544"/>
      <c r="F49" s="544"/>
      <c r="G49" s="544"/>
      <c r="H49" s="544"/>
      <c r="I49" s="544"/>
      <c r="J49" s="544"/>
      <c r="K49" s="544"/>
      <c r="L49" s="544"/>
      <c r="M49" s="544"/>
      <c r="N49" s="544"/>
      <c r="O49" s="544"/>
      <c r="P49" s="544"/>
      <c r="Q49" s="544"/>
      <c r="R49" s="544"/>
      <c r="S49" s="544"/>
      <c r="T49" s="544"/>
      <c r="U49" s="544"/>
      <c r="V49" s="544"/>
      <c r="W49" s="544"/>
      <c r="X49" s="544"/>
      <c r="Y49" s="544"/>
      <c r="Z49" s="544"/>
      <c r="AA49" s="544"/>
      <c r="AB49" s="544"/>
      <c r="AC49" s="505"/>
      <c r="AD49" s="505"/>
      <c r="AE49" s="505"/>
      <c r="AF49" s="505"/>
      <c r="AG49" s="505"/>
      <c r="AH49" s="505"/>
      <c r="AI49" s="505"/>
      <c r="AJ49" s="505"/>
      <c r="AK49" s="505"/>
      <c r="AL49" s="505"/>
      <c r="AM49" s="505"/>
      <c r="AN49" s="505"/>
      <c r="AO49" s="505"/>
      <c r="AP49" s="505"/>
      <c r="AQ49" s="505"/>
      <c r="AR49" s="505"/>
      <c r="AS49" s="505"/>
      <c r="AT49" s="505"/>
      <c r="AU49" s="505"/>
      <c r="AV49" s="505"/>
      <c r="AW49" s="505"/>
      <c r="AX49" s="505"/>
      <c r="AY49" s="505"/>
      <c r="AZ49" s="505"/>
      <c r="BA49" s="505"/>
      <c r="BB49" s="505"/>
      <c r="BC49" s="505"/>
      <c r="BD49" s="505"/>
      <c r="BE49" s="505"/>
    </row>
    <row r="50" spans="1:57" ht="12.6" customHeight="1" thickBot="1">
      <c r="A50" s="544"/>
      <c r="B50" s="544"/>
      <c r="C50" s="544"/>
      <c r="D50" s="544"/>
      <c r="E50" s="544"/>
      <c r="F50" s="544"/>
      <c r="G50" s="544"/>
      <c r="H50" s="544"/>
      <c r="I50" s="544"/>
      <c r="J50" s="544"/>
      <c r="K50" s="544"/>
      <c r="L50" s="544"/>
      <c r="M50" s="544"/>
      <c r="N50" s="544"/>
      <c r="O50" s="544"/>
      <c r="P50" s="544"/>
      <c r="Q50" s="544"/>
      <c r="R50" s="544"/>
      <c r="S50" s="544"/>
      <c r="T50" s="544"/>
      <c r="U50" s="544"/>
      <c r="V50" s="544"/>
      <c r="W50" s="544"/>
      <c r="X50" s="544"/>
      <c r="Y50" s="544"/>
      <c r="Z50" s="544"/>
      <c r="AA50" s="544"/>
      <c r="AB50" s="544"/>
      <c r="AC50" s="505"/>
      <c r="AD50" s="505"/>
      <c r="AE50" s="505"/>
      <c r="AF50" s="505"/>
      <c r="AG50" s="505"/>
      <c r="AH50" s="505"/>
      <c r="AI50" s="505"/>
      <c r="AJ50" s="505"/>
      <c r="AK50" s="505"/>
      <c r="AL50" s="505"/>
      <c r="AM50" s="505"/>
      <c r="AN50" s="505"/>
      <c r="AO50" s="505"/>
      <c r="AP50" s="505"/>
      <c r="AQ50" s="505"/>
      <c r="AR50" s="505"/>
      <c r="AS50" s="505"/>
      <c r="AT50" s="505"/>
      <c r="AU50" s="505"/>
      <c r="AV50" s="505"/>
      <c r="AW50" s="505"/>
      <c r="AX50" s="505"/>
      <c r="AY50" s="505"/>
      <c r="AZ50" s="505"/>
      <c r="BA50" s="505"/>
      <c r="BB50" s="505"/>
      <c r="BC50" s="505"/>
      <c r="BD50" s="505"/>
      <c r="BE50" s="505"/>
    </row>
    <row r="51" spans="1:57" ht="12.6" customHeight="1" thickBot="1">
      <c r="A51" s="544"/>
      <c r="B51" s="544"/>
      <c r="C51" s="544"/>
      <c r="D51" s="544"/>
      <c r="E51" s="544"/>
      <c r="F51" s="544"/>
      <c r="G51" s="544"/>
      <c r="H51" s="544"/>
      <c r="I51" s="544"/>
      <c r="J51" s="544"/>
      <c r="K51" s="544"/>
      <c r="L51" s="544"/>
      <c r="M51" s="544"/>
      <c r="N51" s="544"/>
      <c r="O51" s="544"/>
      <c r="P51" s="544"/>
      <c r="Q51" s="544"/>
      <c r="R51" s="544"/>
      <c r="S51" s="544"/>
      <c r="T51" s="544"/>
      <c r="U51" s="544"/>
      <c r="V51" s="544"/>
      <c r="W51" s="544"/>
      <c r="X51" s="544"/>
      <c r="Y51" s="544"/>
      <c r="Z51" s="544"/>
      <c r="AA51" s="544"/>
      <c r="AB51" s="544"/>
      <c r="AC51" s="505"/>
      <c r="AD51" s="505"/>
      <c r="AE51" s="505"/>
      <c r="AF51" s="505"/>
      <c r="AG51" s="505"/>
      <c r="AH51" s="505"/>
      <c r="AI51" s="505"/>
      <c r="AJ51" s="505"/>
      <c r="AK51" s="505"/>
      <c r="AL51" s="505"/>
      <c r="AM51" s="505"/>
      <c r="AN51" s="505"/>
      <c r="AO51" s="505"/>
      <c r="AP51" s="505"/>
      <c r="AQ51" s="505"/>
      <c r="AR51" s="505"/>
      <c r="AS51" s="505"/>
      <c r="AT51" s="505"/>
      <c r="AU51" s="505"/>
      <c r="AV51" s="505"/>
      <c r="AW51" s="505"/>
      <c r="AX51" s="505"/>
      <c r="AY51" s="505"/>
      <c r="AZ51" s="505"/>
      <c r="BA51" s="505"/>
      <c r="BB51" s="505"/>
      <c r="BC51" s="505"/>
      <c r="BD51" s="505"/>
      <c r="BE51" s="505"/>
    </row>
    <row r="52" spans="1:57" ht="12.6" customHeight="1" thickBot="1">
      <c r="A52" s="544" t="s">
        <v>314</v>
      </c>
      <c r="B52" s="544"/>
      <c r="C52" s="544"/>
      <c r="D52" s="544"/>
      <c r="E52" s="544"/>
      <c r="F52" s="544"/>
      <c r="G52" s="544"/>
      <c r="H52" s="544"/>
      <c r="I52" s="544"/>
      <c r="J52" s="544"/>
      <c r="K52" s="544"/>
      <c r="L52" s="544"/>
      <c r="M52" s="544"/>
      <c r="N52" s="544"/>
      <c r="O52" s="544"/>
      <c r="P52" s="544"/>
      <c r="Q52" s="544"/>
      <c r="R52" s="544"/>
      <c r="S52" s="544"/>
      <c r="T52" s="544"/>
      <c r="U52" s="544"/>
      <c r="V52" s="544"/>
      <c r="W52" s="544"/>
      <c r="X52" s="544"/>
      <c r="Y52" s="544"/>
      <c r="Z52" s="544"/>
      <c r="AA52" s="544"/>
      <c r="AB52" s="544"/>
      <c r="AC52" s="505" t="s">
        <v>315</v>
      </c>
      <c r="AD52" s="505"/>
      <c r="AE52" s="505"/>
      <c r="AF52" s="505"/>
      <c r="AG52" s="505"/>
      <c r="AH52" s="505"/>
      <c r="AI52" s="505"/>
      <c r="AJ52" s="505"/>
      <c r="AK52" s="505"/>
      <c r="AL52" s="505"/>
      <c r="AM52" s="505"/>
      <c r="AN52" s="505"/>
      <c r="AO52" s="505"/>
      <c r="AP52" s="505"/>
      <c r="AQ52" s="505"/>
      <c r="AR52" s="505"/>
      <c r="AS52" s="505"/>
      <c r="AT52" s="505"/>
      <c r="AU52" s="505"/>
      <c r="AV52" s="505"/>
      <c r="AW52" s="505"/>
      <c r="AX52" s="505"/>
      <c r="AY52" s="505"/>
      <c r="AZ52" s="505"/>
      <c r="BA52" s="505"/>
      <c r="BB52" s="505"/>
      <c r="BC52" s="505"/>
      <c r="BD52" s="505"/>
      <c r="BE52" s="505"/>
    </row>
    <row r="53" spans="1:57" ht="12.6" customHeight="1" thickBot="1">
      <c r="A53" s="544"/>
      <c r="B53" s="544"/>
      <c r="C53" s="544"/>
      <c r="D53" s="544"/>
      <c r="E53" s="544"/>
      <c r="F53" s="544"/>
      <c r="G53" s="544"/>
      <c r="H53" s="544"/>
      <c r="I53" s="544"/>
      <c r="J53" s="544"/>
      <c r="K53" s="544"/>
      <c r="L53" s="544"/>
      <c r="M53" s="544"/>
      <c r="N53" s="544"/>
      <c r="O53" s="544"/>
      <c r="P53" s="544"/>
      <c r="Q53" s="544"/>
      <c r="R53" s="544"/>
      <c r="S53" s="544"/>
      <c r="T53" s="544"/>
      <c r="U53" s="544"/>
      <c r="V53" s="544"/>
      <c r="W53" s="544"/>
      <c r="X53" s="544"/>
      <c r="Y53" s="544"/>
      <c r="Z53" s="544"/>
      <c r="AA53" s="544"/>
      <c r="AB53" s="544"/>
      <c r="AC53" s="505"/>
      <c r="AD53" s="505"/>
      <c r="AE53" s="505"/>
      <c r="AF53" s="505"/>
      <c r="AG53" s="505"/>
      <c r="AH53" s="505"/>
      <c r="AI53" s="505"/>
      <c r="AJ53" s="505"/>
      <c r="AK53" s="505"/>
      <c r="AL53" s="505"/>
      <c r="AM53" s="505"/>
      <c r="AN53" s="505"/>
      <c r="AO53" s="505"/>
      <c r="AP53" s="505"/>
      <c r="AQ53" s="505"/>
      <c r="AR53" s="505"/>
      <c r="AS53" s="505"/>
      <c r="AT53" s="505"/>
      <c r="AU53" s="505"/>
      <c r="AV53" s="505"/>
      <c r="AW53" s="505"/>
      <c r="AX53" s="505"/>
      <c r="AY53" s="505"/>
      <c r="AZ53" s="505"/>
      <c r="BA53" s="505"/>
      <c r="BB53" s="505"/>
      <c r="BC53" s="505"/>
      <c r="BD53" s="505"/>
      <c r="BE53" s="505"/>
    </row>
    <row r="54" spans="1:57" ht="12.6" customHeight="1" thickBot="1">
      <c r="A54" s="544"/>
      <c r="B54" s="544"/>
      <c r="C54" s="544"/>
      <c r="D54" s="544"/>
      <c r="E54" s="544"/>
      <c r="F54" s="544"/>
      <c r="G54" s="544"/>
      <c r="H54" s="544"/>
      <c r="I54" s="544"/>
      <c r="J54" s="544"/>
      <c r="K54" s="544"/>
      <c r="L54" s="544"/>
      <c r="M54" s="544"/>
      <c r="N54" s="544"/>
      <c r="O54" s="544"/>
      <c r="P54" s="544"/>
      <c r="Q54" s="544"/>
      <c r="R54" s="544"/>
      <c r="S54" s="544"/>
      <c r="T54" s="544"/>
      <c r="U54" s="544"/>
      <c r="V54" s="544"/>
      <c r="W54" s="544"/>
      <c r="X54" s="544"/>
      <c r="Y54" s="544"/>
      <c r="Z54" s="544"/>
      <c r="AA54" s="544"/>
      <c r="AB54" s="544"/>
      <c r="AC54" s="505"/>
      <c r="AD54" s="505"/>
      <c r="AE54" s="505"/>
      <c r="AF54" s="505"/>
      <c r="AG54" s="505"/>
      <c r="AH54" s="505"/>
      <c r="AI54" s="505"/>
      <c r="AJ54" s="505"/>
      <c r="AK54" s="505"/>
      <c r="AL54" s="505"/>
      <c r="AM54" s="505"/>
      <c r="AN54" s="505"/>
      <c r="AO54" s="505"/>
      <c r="AP54" s="505"/>
      <c r="AQ54" s="505"/>
      <c r="AR54" s="505"/>
      <c r="AS54" s="505"/>
      <c r="AT54" s="505"/>
      <c r="AU54" s="505"/>
      <c r="AV54" s="505"/>
      <c r="AW54" s="505"/>
      <c r="AX54" s="505"/>
      <c r="AY54" s="505"/>
      <c r="AZ54" s="505"/>
      <c r="BA54" s="505"/>
      <c r="BB54" s="505"/>
      <c r="BC54" s="505"/>
      <c r="BD54" s="505"/>
      <c r="BE54" s="505"/>
    </row>
    <row r="55" spans="1:57" ht="12.6" customHeight="1" thickBot="1">
      <c r="A55" s="544"/>
      <c r="B55" s="544"/>
      <c r="C55" s="544"/>
      <c r="D55" s="544"/>
      <c r="E55" s="544"/>
      <c r="F55" s="544"/>
      <c r="G55" s="544"/>
      <c r="H55" s="544"/>
      <c r="I55" s="544"/>
      <c r="J55" s="544"/>
      <c r="K55" s="544"/>
      <c r="L55" s="544"/>
      <c r="M55" s="544"/>
      <c r="N55" s="544"/>
      <c r="O55" s="544"/>
      <c r="P55" s="544"/>
      <c r="Q55" s="544"/>
      <c r="R55" s="544"/>
      <c r="S55" s="544"/>
      <c r="T55" s="544"/>
      <c r="U55" s="544"/>
      <c r="V55" s="544"/>
      <c r="W55" s="544"/>
      <c r="X55" s="544"/>
      <c r="Y55" s="544"/>
      <c r="Z55" s="544"/>
      <c r="AA55" s="544"/>
      <c r="AB55" s="544"/>
      <c r="AC55" s="505"/>
      <c r="AD55" s="505"/>
      <c r="AE55" s="505"/>
      <c r="AF55" s="505"/>
      <c r="AG55" s="505"/>
      <c r="AH55" s="505"/>
      <c r="AI55" s="505"/>
      <c r="AJ55" s="505"/>
      <c r="AK55" s="505"/>
      <c r="AL55" s="505"/>
      <c r="AM55" s="505"/>
      <c r="AN55" s="505"/>
      <c r="AO55" s="505"/>
      <c r="AP55" s="505"/>
      <c r="AQ55" s="505"/>
      <c r="AR55" s="505"/>
      <c r="AS55" s="505"/>
      <c r="AT55" s="505"/>
      <c r="AU55" s="505"/>
      <c r="AV55" s="505"/>
      <c r="AW55" s="505"/>
      <c r="AX55" s="505"/>
      <c r="AY55" s="505"/>
      <c r="AZ55" s="505"/>
      <c r="BA55" s="505"/>
      <c r="BB55" s="505"/>
      <c r="BC55" s="505"/>
      <c r="BD55" s="505"/>
      <c r="BE55" s="505"/>
    </row>
    <row r="56" spans="1:57" ht="12.6" customHeight="1" thickBot="1">
      <c r="A56" s="544"/>
      <c r="B56" s="544"/>
      <c r="C56" s="544"/>
      <c r="D56" s="544"/>
      <c r="E56" s="544"/>
      <c r="F56" s="544"/>
      <c r="G56" s="544"/>
      <c r="H56" s="544"/>
      <c r="I56" s="544"/>
      <c r="J56" s="544"/>
      <c r="K56" s="544"/>
      <c r="L56" s="544"/>
      <c r="M56" s="544"/>
      <c r="N56" s="544"/>
      <c r="O56" s="544"/>
      <c r="P56" s="544"/>
      <c r="Q56" s="544"/>
      <c r="R56" s="544"/>
      <c r="S56" s="544"/>
      <c r="T56" s="544"/>
      <c r="U56" s="544"/>
      <c r="V56" s="544"/>
      <c r="W56" s="544"/>
      <c r="X56" s="544"/>
      <c r="Y56" s="544"/>
      <c r="Z56" s="544"/>
      <c r="AA56" s="544"/>
      <c r="AB56" s="544"/>
      <c r="AC56" s="505"/>
      <c r="AD56" s="505"/>
      <c r="AE56" s="505"/>
      <c r="AF56" s="505"/>
      <c r="AG56" s="505"/>
      <c r="AH56" s="505"/>
      <c r="AI56" s="505"/>
      <c r="AJ56" s="505"/>
      <c r="AK56" s="505"/>
      <c r="AL56" s="505"/>
      <c r="AM56" s="505"/>
      <c r="AN56" s="505"/>
      <c r="AO56" s="505"/>
      <c r="AP56" s="505"/>
      <c r="AQ56" s="505"/>
      <c r="AR56" s="505"/>
      <c r="AS56" s="505"/>
      <c r="AT56" s="505"/>
      <c r="AU56" s="505"/>
      <c r="AV56" s="505"/>
      <c r="AW56" s="505"/>
      <c r="AX56" s="505"/>
      <c r="AY56" s="505"/>
      <c r="AZ56" s="505"/>
      <c r="BA56" s="505"/>
      <c r="BB56" s="505"/>
      <c r="BC56" s="505"/>
      <c r="BD56" s="505"/>
      <c r="BE56" s="505"/>
    </row>
    <row r="57" spans="1:57" ht="12.6" customHeight="1" thickBot="1">
      <c r="A57" s="544"/>
      <c r="B57" s="544"/>
      <c r="C57" s="544"/>
      <c r="D57" s="544"/>
      <c r="E57" s="544"/>
      <c r="F57" s="544"/>
      <c r="G57" s="544"/>
      <c r="H57" s="544"/>
      <c r="I57" s="544"/>
      <c r="J57" s="544"/>
      <c r="K57" s="544"/>
      <c r="L57" s="544"/>
      <c r="M57" s="544"/>
      <c r="N57" s="544"/>
      <c r="O57" s="544"/>
      <c r="P57" s="544"/>
      <c r="Q57" s="544"/>
      <c r="R57" s="544"/>
      <c r="S57" s="544"/>
      <c r="T57" s="544"/>
      <c r="U57" s="544"/>
      <c r="V57" s="544"/>
      <c r="W57" s="544"/>
      <c r="X57" s="544"/>
      <c r="Y57" s="544"/>
      <c r="Z57" s="544"/>
      <c r="AA57" s="544"/>
      <c r="AB57" s="544"/>
      <c r="AC57" s="505"/>
      <c r="AD57" s="505"/>
      <c r="AE57" s="505"/>
      <c r="AF57" s="505"/>
      <c r="AG57" s="505"/>
      <c r="AH57" s="505"/>
      <c r="AI57" s="505"/>
      <c r="AJ57" s="505"/>
      <c r="AK57" s="505"/>
      <c r="AL57" s="505"/>
      <c r="AM57" s="505"/>
      <c r="AN57" s="505"/>
      <c r="AO57" s="505"/>
      <c r="AP57" s="505"/>
      <c r="AQ57" s="505"/>
      <c r="AR57" s="505"/>
      <c r="AS57" s="505"/>
      <c r="AT57" s="505"/>
      <c r="AU57" s="505"/>
      <c r="AV57" s="505"/>
      <c r="AW57" s="505"/>
      <c r="AX57" s="505"/>
      <c r="AY57" s="505"/>
      <c r="AZ57" s="505"/>
      <c r="BA57" s="505"/>
      <c r="BB57" s="505"/>
      <c r="BC57" s="505"/>
      <c r="BD57" s="505"/>
      <c r="BE57" s="505"/>
    </row>
    <row r="58" spans="1:57" ht="12.6" customHeight="1" thickBot="1">
      <c r="A58" s="544"/>
      <c r="B58" s="544"/>
      <c r="C58" s="544"/>
      <c r="D58" s="544"/>
      <c r="E58" s="544"/>
      <c r="F58" s="544"/>
      <c r="G58" s="544"/>
      <c r="H58" s="544"/>
      <c r="I58" s="544"/>
      <c r="J58" s="544"/>
      <c r="K58" s="544"/>
      <c r="L58" s="544"/>
      <c r="M58" s="544"/>
      <c r="N58" s="544"/>
      <c r="O58" s="544"/>
      <c r="P58" s="544"/>
      <c r="Q58" s="544"/>
      <c r="R58" s="544"/>
      <c r="S58" s="544"/>
      <c r="T58" s="544"/>
      <c r="U58" s="544"/>
      <c r="V58" s="544"/>
      <c r="W58" s="544"/>
      <c r="X58" s="544"/>
      <c r="Y58" s="544"/>
      <c r="Z58" s="544"/>
      <c r="AA58" s="544"/>
      <c r="AB58" s="544"/>
      <c r="AC58" s="505"/>
      <c r="AD58" s="505"/>
      <c r="AE58" s="505"/>
      <c r="AF58" s="505"/>
      <c r="AG58" s="505"/>
      <c r="AH58" s="505"/>
      <c r="AI58" s="505"/>
      <c r="AJ58" s="505"/>
      <c r="AK58" s="505"/>
      <c r="AL58" s="505"/>
      <c r="AM58" s="505"/>
      <c r="AN58" s="505"/>
      <c r="AO58" s="505"/>
      <c r="AP58" s="505"/>
      <c r="AQ58" s="505"/>
      <c r="AR58" s="505"/>
      <c r="AS58" s="505"/>
      <c r="AT58" s="505"/>
      <c r="AU58" s="505"/>
      <c r="AV58" s="505"/>
      <c r="AW58" s="505"/>
      <c r="AX58" s="505"/>
      <c r="AY58" s="505"/>
      <c r="AZ58" s="505"/>
      <c r="BA58" s="505"/>
      <c r="BB58" s="505"/>
      <c r="BC58" s="505"/>
      <c r="BD58" s="505"/>
      <c r="BE58" s="505"/>
    </row>
    <row r="59" spans="1:57" ht="12.6" customHeight="1" thickBot="1">
      <c r="A59" s="544"/>
      <c r="B59" s="544"/>
      <c r="C59" s="544"/>
      <c r="D59" s="544"/>
      <c r="E59" s="544"/>
      <c r="F59" s="544"/>
      <c r="G59" s="544"/>
      <c r="H59" s="544"/>
      <c r="I59" s="544"/>
      <c r="J59" s="544"/>
      <c r="K59" s="544"/>
      <c r="L59" s="544"/>
      <c r="M59" s="544"/>
      <c r="N59" s="544"/>
      <c r="O59" s="544"/>
      <c r="P59" s="544"/>
      <c r="Q59" s="544"/>
      <c r="R59" s="544"/>
      <c r="S59" s="544"/>
      <c r="T59" s="544"/>
      <c r="U59" s="544"/>
      <c r="V59" s="544"/>
      <c r="W59" s="544"/>
      <c r="X59" s="544"/>
      <c r="Y59" s="544"/>
      <c r="Z59" s="544"/>
      <c r="AA59" s="544"/>
      <c r="AB59" s="544"/>
      <c r="AC59" s="505"/>
      <c r="AD59" s="505"/>
      <c r="AE59" s="505"/>
      <c r="AF59" s="505"/>
      <c r="AG59" s="505"/>
      <c r="AH59" s="505"/>
      <c r="AI59" s="505"/>
      <c r="AJ59" s="505"/>
      <c r="AK59" s="505"/>
      <c r="AL59" s="505"/>
      <c r="AM59" s="505"/>
      <c r="AN59" s="505"/>
      <c r="AO59" s="505"/>
      <c r="AP59" s="505"/>
      <c r="AQ59" s="505"/>
      <c r="AR59" s="505"/>
      <c r="AS59" s="505"/>
      <c r="AT59" s="505"/>
      <c r="AU59" s="505"/>
      <c r="AV59" s="505"/>
      <c r="AW59" s="505"/>
      <c r="AX59" s="505"/>
      <c r="AY59" s="505"/>
      <c r="AZ59" s="505"/>
      <c r="BA59" s="505"/>
      <c r="BB59" s="505"/>
      <c r="BC59" s="505"/>
      <c r="BD59" s="505"/>
      <c r="BE59" s="505"/>
    </row>
    <row r="60" spans="1:57" ht="12.6" customHeight="1" thickBot="1">
      <c r="A60" s="544"/>
      <c r="B60" s="544"/>
      <c r="C60" s="544"/>
      <c r="D60" s="544"/>
      <c r="E60" s="544"/>
      <c r="F60" s="544"/>
      <c r="G60" s="544"/>
      <c r="H60" s="544"/>
      <c r="I60" s="544"/>
      <c r="J60" s="544"/>
      <c r="K60" s="544"/>
      <c r="L60" s="544"/>
      <c r="M60" s="544"/>
      <c r="N60" s="544"/>
      <c r="O60" s="544"/>
      <c r="P60" s="544"/>
      <c r="Q60" s="544"/>
      <c r="R60" s="544"/>
      <c r="S60" s="544"/>
      <c r="T60" s="544"/>
      <c r="U60" s="544"/>
      <c r="V60" s="544"/>
      <c r="W60" s="544"/>
      <c r="X60" s="544"/>
      <c r="Y60" s="544"/>
      <c r="Z60" s="544"/>
      <c r="AA60" s="544"/>
      <c r="AB60" s="544"/>
      <c r="AC60" s="505"/>
      <c r="AD60" s="505"/>
      <c r="AE60" s="505"/>
      <c r="AF60" s="505"/>
      <c r="AG60" s="505"/>
      <c r="AH60" s="505"/>
      <c r="AI60" s="505"/>
      <c r="AJ60" s="505"/>
      <c r="AK60" s="505"/>
      <c r="AL60" s="505"/>
      <c r="AM60" s="505"/>
      <c r="AN60" s="505"/>
      <c r="AO60" s="505"/>
      <c r="AP60" s="505"/>
      <c r="AQ60" s="505"/>
      <c r="AR60" s="505"/>
      <c r="AS60" s="505"/>
      <c r="AT60" s="505"/>
      <c r="AU60" s="505"/>
      <c r="AV60" s="505"/>
      <c r="AW60" s="505"/>
      <c r="AX60" s="505"/>
      <c r="AY60" s="505"/>
      <c r="AZ60" s="505"/>
      <c r="BA60" s="505"/>
      <c r="BB60" s="505"/>
      <c r="BC60" s="505"/>
      <c r="BD60" s="505"/>
      <c r="BE60" s="505"/>
    </row>
    <row r="61" spans="1:57" ht="12.6" customHeight="1" thickBot="1">
      <c r="A61" s="544"/>
      <c r="B61" s="544"/>
      <c r="C61" s="544"/>
      <c r="D61" s="544"/>
      <c r="E61" s="544"/>
      <c r="F61" s="544"/>
      <c r="G61" s="544"/>
      <c r="H61" s="544"/>
      <c r="I61" s="544"/>
      <c r="J61" s="544"/>
      <c r="K61" s="544"/>
      <c r="L61" s="544"/>
      <c r="M61" s="544"/>
      <c r="N61" s="544"/>
      <c r="O61" s="544"/>
      <c r="P61" s="544"/>
      <c r="Q61" s="544"/>
      <c r="R61" s="544"/>
      <c r="S61" s="544"/>
      <c r="T61" s="544"/>
      <c r="U61" s="544"/>
      <c r="V61" s="544"/>
      <c r="W61" s="544"/>
      <c r="X61" s="544"/>
      <c r="Y61" s="544"/>
      <c r="Z61" s="544"/>
      <c r="AA61" s="544"/>
      <c r="AB61" s="544"/>
      <c r="AC61" s="505"/>
      <c r="AD61" s="505"/>
      <c r="AE61" s="505"/>
      <c r="AF61" s="505"/>
      <c r="AG61" s="505"/>
      <c r="AH61" s="505"/>
      <c r="AI61" s="505"/>
      <c r="AJ61" s="505"/>
      <c r="AK61" s="505"/>
      <c r="AL61" s="505"/>
      <c r="AM61" s="505"/>
      <c r="AN61" s="505"/>
      <c r="AO61" s="505"/>
      <c r="AP61" s="505"/>
      <c r="AQ61" s="505"/>
      <c r="AR61" s="505"/>
      <c r="AS61" s="505"/>
      <c r="AT61" s="505"/>
      <c r="AU61" s="505"/>
      <c r="AV61" s="505"/>
      <c r="AW61" s="505"/>
      <c r="AX61" s="505"/>
      <c r="AY61" s="505"/>
      <c r="AZ61" s="505"/>
      <c r="BA61" s="505"/>
      <c r="BB61" s="505"/>
      <c r="BC61" s="505"/>
      <c r="BD61" s="505"/>
      <c r="BE61" s="505"/>
    </row>
    <row r="62" spans="1:57" ht="12.6" customHeight="1" thickBot="1">
      <c r="A62" s="544"/>
      <c r="B62" s="544"/>
      <c r="C62" s="544"/>
      <c r="D62" s="544"/>
      <c r="E62" s="544"/>
      <c r="F62" s="544"/>
      <c r="G62" s="544"/>
      <c r="H62" s="544"/>
      <c r="I62" s="544"/>
      <c r="J62" s="544"/>
      <c r="K62" s="544"/>
      <c r="L62" s="544"/>
      <c r="M62" s="544"/>
      <c r="N62" s="544"/>
      <c r="O62" s="544"/>
      <c r="P62" s="544"/>
      <c r="Q62" s="544"/>
      <c r="R62" s="544"/>
      <c r="S62" s="544"/>
      <c r="T62" s="544"/>
      <c r="U62" s="544"/>
      <c r="V62" s="544"/>
      <c r="W62" s="544"/>
      <c r="X62" s="544"/>
      <c r="Y62" s="544"/>
      <c r="Z62" s="544"/>
      <c r="AA62" s="544"/>
      <c r="AB62" s="544"/>
      <c r="AC62" s="505"/>
      <c r="AD62" s="505"/>
      <c r="AE62" s="505"/>
      <c r="AF62" s="505"/>
      <c r="AG62" s="505"/>
      <c r="AH62" s="505"/>
      <c r="AI62" s="505"/>
      <c r="AJ62" s="505"/>
      <c r="AK62" s="505"/>
      <c r="AL62" s="505"/>
      <c r="AM62" s="505"/>
      <c r="AN62" s="505"/>
      <c r="AO62" s="505"/>
      <c r="AP62" s="505"/>
      <c r="AQ62" s="505"/>
      <c r="AR62" s="505"/>
      <c r="AS62" s="505"/>
      <c r="AT62" s="505"/>
      <c r="AU62" s="505"/>
      <c r="AV62" s="505"/>
      <c r="AW62" s="505"/>
      <c r="AX62" s="505"/>
      <c r="AY62" s="505"/>
      <c r="AZ62" s="505"/>
      <c r="BA62" s="505"/>
      <c r="BB62" s="505"/>
      <c r="BC62" s="505"/>
      <c r="BD62" s="505"/>
      <c r="BE62" s="505"/>
    </row>
    <row r="63" spans="1:57" ht="12.6" customHeight="1" thickBot="1">
      <c r="A63" s="544"/>
      <c r="B63" s="544"/>
      <c r="C63" s="544"/>
      <c r="D63" s="544"/>
      <c r="E63" s="544"/>
      <c r="F63" s="544"/>
      <c r="G63" s="544"/>
      <c r="H63" s="544"/>
      <c r="I63" s="544"/>
      <c r="J63" s="544"/>
      <c r="K63" s="544"/>
      <c r="L63" s="544"/>
      <c r="M63" s="544"/>
      <c r="N63" s="544"/>
      <c r="O63" s="544"/>
      <c r="P63" s="544"/>
      <c r="Q63" s="544"/>
      <c r="R63" s="544"/>
      <c r="S63" s="544"/>
      <c r="T63" s="544"/>
      <c r="U63" s="544"/>
      <c r="V63" s="544"/>
      <c r="W63" s="544"/>
      <c r="X63" s="544"/>
      <c r="Y63" s="544"/>
      <c r="Z63" s="544"/>
      <c r="AA63" s="544"/>
      <c r="AB63" s="544"/>
      <c r="AC63" s="505"/>
      <c r="AD63" s="505"/>
      <c r="AE63" s="505"/>
      <c r="AF63" s="505"/>
      <c r="AG63" s="505"/>
      <c r="AH63" s="505"/>
      <c r="AI63" s="505"/>
      <c r="AJ63" s="505"/>
      <c r="AK63" s="505"/>
      <c r="AL63" s="505"/>
      <c r="AM63" s="505"/>
      <c r="AN63" s="505"/>
      <c r="AO63" s="505"/>
      <c r="AP63" s="505"/>
      <c r="AQ63" s="505"/>
      <c r="AR63" s="505"/>
      <c r="AS63" s="505"/>
      <c r="AT63" s="505"/>
      <c r="AU63" s="505"/>
      <c r="AV63" s="505"/>
      <c r="AW63" s="505"/>
      <c r="AX63" s="505"/>
      <c r="AY63" s="505"/>
      <c r="AZ63" s="505"/>
      <c r="BA63" s="505"/>
      <c r="BB63" s="505"/>
      <c r="BC63" s="505"/>
      <c r="BD63" s="505"/>
      <c r="BE63" s="505"/>
    </row>
    <row r="64" spans="1:57" ht="12.6" customHeight="1" thickBot="1">
      <c r="A64" s="544"/>
      <c r="B64" s="544"/>
      <c r="C64" s="544"/>
      <c r="D64" s="544"/>
      <c r="E64" s="544"/>
      <c r="F64" s="544"/>
      <c r="G64" s="544"/>
      <c r="H64" s="544"/>
      <c r="I64" s="544"/>
      <c r="J64" s="544"/>
      <c r="K64" s="544"/>
      <c r="L64" s="544"/>
      <c r="M64" s="544"/>
      <c r="N64" s="544"/>
      <c r="O64" s="544"/>
      <c r="P64" s="544"/>
      <c r="Q64" s="544"/>
      <c r="R64" s="544"/>
      <c r="S64" s="544"/>
      <c r="T64" s="544"/>
      <c r="U64" s="544"/>
      <c r="V64" s="544"/>
      <c r="W64" s="544"/>
      <c r="X64" s="544"/>
      <c r="Y64" s="544"/>
      <c r="Z64" s="544"/>
      <c r="AA64" s="544"/>
      <c r="AB64" s="544"/>
      <c r="AC64" s="505"/>
      <c r="AD64" s="505"/>
      <c r="AE64" s="505"/>
      <c r="AF64" s="505"/>
      <c r="AG64" s="505"/>
      <c r="AH64" s="505"/>
      <c r="AI64" s="505"/>
      <c r="AJ64" s="505"/>
      <c r="AK64" s="505"/>
      <c r="AL64" s="505"/>
      <c r="AM64" s="505"/>
      <c r="AN64" s="505"/>
      <c r="AO64" s="505"/>
      <c r="AP64" s="505"/>
      <c r="AQ64" s="505"/>
      <c r="AR64" s="505"/>
      <c r="AS64" s="505"/>
      <c r="AT64" s="505"/>
      <c r="AU64" s="505"/>
      <c r="AV64" s="505"/>
      <c r="AW64" s="505"/>
      <c r="AX64" s="505"/>
      <c r="AY64" s="505"/>
      <c r="AZ64" s="505"/>
      <c r="BA64" s="505"/>
      <c r="BB64" s="505"/>
      <c r="BC64" s="505"/>
      <c r="BD64" s="505"/>
      <c r="BE64" s="505"/>
    </row>
    <row r="65" spans="1:57" ht="12.6" customHeight="1" thickBot="1">
      <c r="A65" s="544"/>
      <c r="B65" s="544"/>
      <c r="C65" s="544"/>
      <c r="D65" s="544"/>
      <c r="E65" s="544"/>
      <c r="F65" s="544"/>
      <c r="G65" s="544"/>
      <c r="H65" s="544"/>
      <c r="I65" s="544"/>
      <c r="J65" s="544"/>
      <c r="K65" s="544"/>
      <c r="L65" s="544"/>
      <c r="M65" s="544"/>
      <c r="N65" s="544"/>
      <c r="O65" s="544"/>
      <c r="P65" s="544"/>
      <c r="Q65" s="544"/>
      <c r="R65" s="544"/>
      <c r="S65" s="544"/>
      <c r="T65" s="544"/>
      <c r="U65" s="544"/>
      <c r="V65" s="544"/>
      <c r="W65" s="544"/>
      <c r="X65" s="544"/>
      <c r="Y65" s="544"/>
      <c r="Z65" s="544"/>
      <c r="AA65" s="544"/>
      <c r="AB65" s="544"/>
      <c r="AC65" s="505"/>
      <c r="AD65" s="505"/>
      <c r="AE65" s="505"/>
      <c r="AF65" s="505"/>
      <c r="AG65" s="505"/>
      <c r="AH65" s="505"/>
      <c r="AI65" s="505"/>
      <c r="AJ65" s="505"/>
      <c r="AK65" s="505"/>
      <c r="AL65" s="505"/>
      <c r="AM65" s="505"/>
      <c r="AN65" s="505"/>
      <c r="AO65" s="505"/>
      <c r="AP65" s="505"/>
      <c r="AQ65" s="505"/>
      <c r="AR65" s="505"/>
      <c r="AS65" s="505"/>
      <c r="AT65" s="505"/>
      <c r="AU65" s="505"/>
      <c r="AV65" s="505"/>
      <c r="AW65" s="505"/>
      <c r="AX65" s="505"/>
      <c r="AY65" s="505"/>
      <c r="AZ65" s="505"/>
      <c r="BA65" s="505"/>
      <c r="BB65" s="505"/>
      <c r="BC65" s="505"/>
      <c r="BD65" s="505"/>
      <c r="BE65" s="505"/>
    </row>
    <row r="66" spans="1:57" ht="12.6" customHeight="1" thickBot="1">
      <c r="A66" s="544"/>
      <c r="B66" s="544"/>
      <c r="C66" s="544"/>
      <c r="D66" s="544"/>
      <c r="E66" s="544"/>
      <c r="F66" s="544"/>
      <c r="G66" s="544"/>
      <c r="H66" s="544"/>
      <c r="I66" s="544"/>
      <c r="J66" s="544"/>
      <c r="K66" s="544"/>
      <c r="L66" s="544"/>
      <c r="M66" s="544"/>
      <c r="N66" s="544"/>
      <c r="O66" s="544"/>
      <c r="P66" s="544"/>
      <c r="Q66" s="544"/>
      <c r="R66" s="544"/>
      <c r="S66" s="544"/>
      <c r="T66" s="544"/>
      <c r="U66" s="544"/>
      <c r="V66" s="544"/>
      <c r="W66" s="544"/>
      <c r="X66" s="544"/>
      <c r="Y66" s="544"/>
      <c r="Z66" s="544"/>
      <c r="AA66" s="544"/>
      <c r="AB66" s="544"/>
      <c r="AC66" s="505"/>
      <c r="AD66" s="505"/>
      <c r="AE66" s="505"/>
      <c r="AF66" s="505"/>
      <c r="AG66" s="505"/>
      <c r="AH66" s="505"/>
      <c r="AI66" s="505"/>
      <c r="AJ66" s="505"/>
      <c r="AK66" s="505"/>
      <c r="AL66" s="505"/>
      <c r="AM66" s="505"/>
      <c r="AN66" s="505"/>
      <c r="AO66" s="505"/>
      <c r="AP66" s="505"/>
      <c r="AQ66" s="505"/>
      <c r="AR66" s="505"/>
      <c r="AS66" s="505"/>
      <c r="AT66" s="505"/>
      <c r="AU66" s="505"/>
      <c r="AV66" s="505"/>
      <c r="AW66" s="505"/>
      <c r="AX66" s="505"/>
      <c r="AY66" s="505"/>
      <c r="AZ66" s="505"/>
      <c r="BA66" s="505"/>
      <c r="BB66" s="505"/>
      <c r="BC66" s="505"/>
      <c r="BD66" s="505"/>
      <c r="BE66" s="505"/>
    </row>
    <row r="67" spans="1:57" ht="12.6" customHeight="1" thickBot="1">
      <c r="A67" s="544"/>
      <c r="B67" s="544"/>
      <c r="C67" s="544"/>
      <c r="D67" s="544"/>
      <c r="E67" s="544"/>
      <c r="F67" s="544"/>
      <c r="G67" s="544"/>
      <c r="H67" s="544"/>
      <c r="I67" s="544"/>
      <c r="J67" s="544"/>
      <c r="K67" s="544"/>
      <c r="L67" s="544"/>
      <c r="M67" s="544"/>
      <c r="N67" s="544"/>
      <c r="O67" s="544"/>
      <c r="P67" s="544"/>
      <c r="Q67" s="544"/>
      <c r="R67" s="544"/>
      <c r="S67" s="544"/>
      <c r="T67" s="544"/>
      <c r="U67" s="544"/>
      <c r="V67" s="544"/>
      <c r="W67" s="544"/>
      <c r="X67" s="544"/>
      <c r="Y67" s="544"/>
      <c r="Z67" s="544"/>
      <c r="AA67" s="544"/>
      <c r="AB67" s="544"/>
      <c r="AC67" s="505"/>
      <c r="AD67" s="505"/>
      <c r="AE67" s="505"/>
      <c r="AF67" s="505"/>
      <c r="AG67" s="505"/>
      <c r="AH67" s="505"/>
      <c r="AI67" s="505"/>
      <c r="AJ67" s="505"/>
      <c r="AK67" s="505"/>
      <c r="AL67" s="505"/>
      <c r="AM67" s="505"/>
      <c r="AN67" s="505"/>
      <c r="AO67" s="505"/>
      <c r="AP67" s="505"/>
      <c r="AQ67" s="505"/>
      <c r="AR67" s="505"/>
      <c r="AS67" s="505"/>
      <c r="AT67" s="505"/>
      <c r="AU67" s="505"/>
      <c r="AV67" s="505"/>
      <c r="AW67" s="505"/>
      <c r="AX67" s="505"/>
      <c r="AY67" s="505"/>
      <c r="AZ67" s="505"/>
      <c r="BA67" s="505"/>
      <c r="BB67" s="505"/>
      <c r="BC67" s="505"/>
      <c r="BD67" s="505"/>
      <c r="BE67" s="505"/>
    </row>
    <row r="68" spans="1:57" ht="12.6" customHeight="1" thickBot="1">
      <c r="A68" s="544"/>
      <c r="B68" s="544"/>
      <c r="C68" s="544"/>
      <c r="D68" s="544"/>
      <c r="E68" s="544"/>
      <c r="F68" s="544"/>
      <c r="G68" s="544"/>
      <c r="H68" s="544"/>
      <c r="I68" s="544"/>
      <c r="J68" s="544"/>
      <c r="K68" s="544"/>
      <c r="L68" s="544"/>
      <c r="M68" s="544"/>
      <c r="N68" s="544"/>
      <c r="O68" s="544"/>
      <c r="P68" s="544"/>
      <c r="Q68" s="544"/>
      <c r="R68" s="544"/>
      <c r="S68" s="544"/>
      <c r="T68" s="544"/>
      <c r="U68" s="544"/>
      <c r="V68" s="544"/>
      <c r="W68" s="544"/>
      <c r="X68" s="544"/>
      <c r="Y68" s="544"/>
      <c r="Z68" s="544"/>
      <c r="AA68" s="544"/>
      <c r="AB68" s="544"/>
      <c r="AC68" s="505"/>
      <c r="AD68" s="505"/>
      <c r="AE68" s="505"/>
      <c r="AF68" s="505"/>
      <c r="AG68" s="505"/>
      <c r="AH68" s="505"/>
      <c r="AI68" s="505"/>
      <c r="AJ68" s="505"/>
      <c r="AK68" s="505"/>
      <c r="AL68" s="505"/>
      <c r="AM68" s="505"/>
      <c r="AN68" s="505"/>
      <c r="AO68" s="505"/>
      <c r="AP68" s="505"/>
      <c r="AQ68" s="505"/>
      <c r="AR68" s="505"/>
      <c r="AS68" s="505"/>
      <c r="AT68" s="505"/>
      <c r="AU68" s="505"/>
      <c r="AV68" s="505"/>
      <c r="AW68" s="505"/>
      <c r="AX68" s="505"/>
      <c r="AY68" s="505"/>
      <c r="AZ68" s="505"/>
      <c r="BA68" s="505"/>
      <c r="BB68" s="505"/>
      <c r="BC68" s="505"/>
      <c r="BD68" s="505"/>
      <c r="BE68" s="505"/>
    </row>
  </sheetData>
  <mergeCells count="27">
    <mergeCell ref="BC13:BE17"/>
    <mergeCell ref="AC35:BE51"/>
    <mergeCell ref="A23:C34"/>
    <mergeCell ref="A1:BE11"/>
    <mergeCell ref="AV12:AX12"/>
    <mergeCell ref="AY12:BE12"/>
    <mergeCell ref="A13:C17"/>
    <mergeCell ref="D13:AD17"/>
    <mergeCell ref="AE13:AG17"/>
    <mergeCell ref="AH13:AJ17"/>
    <mergeCell ref="AK13:BB17"/>
    <mergeCell ref="A18:C22"/>
    <mergeCell ref="D18:T22"/>
    <mergeCell ref="U18:W22"/>
    <mergeCell ref="X18:AD22"/>
    <mergeCell ref="AE18:AG22"/>
    <mergeCell ref="AH18:AN22"/>
    <mergeCell ref="AO18:AQ22"/>
    <mergeCell ref="AR18:BB22"/>
    <mergeCell ref="A52:AB68"/>
    <mergeCell ref="AC52:BE68"/>
    <mergeCell ref="BC18:BE22"/>
    <mergeCell ref="D23:BE25"/>
    <mergeCell ref="D26:BE28"/>
    <mergeCell ref="D29:BE31"/>
    <mergeCell ref="D32:BE34"/>
    <mergeCell ref="A35:AB51"/>
  </mergeCells>
  <phoneticPr fontId="2" type="noConversion"/>
  <pageMargins left="0.15748031496062992" right="0.15748031496062992" top="0.19685039370078741" bottom="0.19685039370078741" header="0.19685039370078741" footer="0.1968503937007874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1.物調-封面</vt:lpstr>
      <vt:lpstr>2.物調-第1頁</vt:lpstr>
      <vt:lpstr>3.物調-簽名</vt:lpstr>
      <vt:lpstr>4.物調-建物+車位</vt:lpstr>
      <vt:lpstr>5.物調-土地</vt:lpstr>
      <vt:lpstr>6.物調-其他交易條件</vt:lpstr>
      <vt:lpstr>7.物調-相關費用</vt:lpstr>
      <vt:lpstr>秘書-input</vt:lpstr>
      <vt:lpstr>秘書-注意事項</vt:lpstr>
      <vt:lpstr>秘書-橫式櫥窗(2格用)</vt:lpstr>
      <vt:lpstr>秘書-橫式櫥窗</vt:lpstr>
    </vt:vector>
  </TitlesOfParts>
  <Company>SuperXP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秘書長</dc:creator>
  <cp:lastModifiedBy>秘書長</cp:lastModifiedBy>
  <cp:lastPrinted>2012-07-31T06:47:35Z</cp:lastPrinted>
  <dcterms:created xsi:type="dcterms:W3CDTF">2007-12-25T08:27:52Z</dcterms:created>
  <dcterms:modified xsi:type="dcterms:W3CDTF">2012-08-05T03:44:21Z</dcterms:modified>
</cp:coreProperties>
</file>